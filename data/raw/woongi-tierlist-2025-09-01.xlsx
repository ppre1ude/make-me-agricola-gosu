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7" lowestEdited="7" rupBuild="10.105.280.55985"/>
  <workbookPr/>
  <bookViews>
    <workbookView xWindow="360" yWindow="30" windowWidth="25755" windowHeight="11595" tabRatio="710" activeTab="0"/>
  </bookViews>
  <sheets>
    <sheet name="검색" sheetId="5" r:id="rId1"/>
    <sheet name="직업분석" sheetId="6" r:id="rId2"/>
    <sheet name="보조설비분석" sheetId="7" r:id="rId3"/>
  </sheets>
  <externalReferences>
    <externalReference r:id="rId4"/>
  </externalReferences>
  <definedNames>
    <definedName name="_xlnm._FilterDatabase" localSheetId="2" hidden="1">보조설비분석!$B$1:$G$354</definedName>
    <definedName name="_xlnm._FilterDatabase" localSheetId="1" hidden="1">직업분석!$B$1:$F$345</definedName>
  </definedNames>
  <calcPr calcId="152511"/>
</workbook>
</file>

<file path=xl/comments1.xml><?xml version="1.0" encoding="utf-8"?>
<comments xmlns="http://schemas.openxmlformats.org/spreadsheetml/2006/main">
  <authors/>
  <commentList/>
</comments>
</file>

<file path=xl/comments2.xml><?xml version="1.0" encoding="utf-8"?>
<comments xmlns="http://schemas.openxmlformats.org/spreadsheetml/2006/main">
  <authors/>
  <commentList/>
</comments>
</file>

<file path=xl/comments3.xml><?xml version="1.0" encoding="utf-8"?>
<comments xmlns="http://schemas.openxmlformats.org/spreadsheetml/2006/main">
  <authors/>
  <commentList/>
</comments>
</file>

<file path=xl/sharedStrings.xml><?xml version="1.0" encoding="utf-8"?>
<sst xmlns="http://schemas.openxmlformats.org/spreadsheetml/2006/main" count="4509" uniqueCount="4509">
  <si>
    <t>직업 이름</t>
  </si>
  <si>
    <t>점수</t>
  </si>
  <si>
    <t>경기회수</t>
  </si>
  <si>
    <t>설비 이름</t>
  </si>
  <si>
    <t>가정교사</t>
  </si>
  <si>
    <t>실내장식업자</t>
  </si>
  <si>
    <t>하인</t>
  </si>
  <si>
    <t>타작꾼</t>
  </si>
  <si>
    <t>양의 친구</t>
  </si>
  <si>
    <t>밭일 감독</t>
  </si>
  <si>
    <t>흙 빚는 사람</t>
  </si>
  <si>
    <t>오두막집살이</t>
  </si>
  <si>
    <t>수집가</t>
  </si>
  <si>
    <t>나무 오두막 늘리는 사람</t>
  </si>
  <si>
    <t>슈납스 양조자</t>
  </si>
  <si>
    <t>돌 수레</t>
  </si>
  <si>
    <t>돌집게</t>
  </si>
  <si>
    <t>다진 흙</t>
  </si>
  <si>
    <t>채굴 망치</t>
  </si>
  <si>
    <t>삽</t>
  </si>
  <si>
    <t>외부 원조</t>
  </si>
  <si>
    <t>흙집 골조</t>
  </si>
  <si>
    <t>끝없는 굶주림</t>
  </si>
  <si>
    <t>통나무배</t>
  </si>
  <si>
    <t>네덜란드식 풍차</t>
  </si>
  <si>
    <t>손수레</t>
  </si>
  <si>
    <t>연못 오두막</t>
  </si>
  <si>
    <t>증기 기계</t>
  </si>
  <si>
    <t>외바퀴 쟁기</t>
  </si>
  <si>
    <t>재활용 벽돌</t>
  </si>
  <si>
    <t>나무골조 집</t>
  </si>
  <si>
    <t>평균 ELO</t>
  </si>
  <si>
    <t>내 등수</t>
  </si>
  <si>
    <t>다영이 등수</t>
  </si>
  <si>
    <t>날짜</t>
  </si>
  <si>
    <t>내 점수</t>
  </si>
  <si>
    <t>다영이 점수</t>
  </si>
  <si>
    <t>중심지 관리인</t>
  </si>
  <si>
    <t>음식 공급업자</t>
  </si>
  <si>
    <t>목공 선원</t>
  </si>
  <si>
    <t>나무 조사관</t>
  </si>
  <si>
    <t>기능 장인</t>
  </si>
  <si>
    <t>소치기</t>
  </si>
  <si>
    <t>독일 관목 관리인</t>
  </si>
  <si>
    <t>채굴자</t>
  </si>
  <si>
    <t>돌 자르는 사람</t>
  </si>
  <si>
    <t>소규모 농부</t>
  </si>
  <si>
    <t>강기슭 건축가</t>
  </si>
  <si>
    <t>목사</t>
  </si>
  <si>
    <t>농지 돌봄이</t>
  </si>
  <si>
    <t>보급선</t>
  </si>
  <si>
    <t>손쟁기</t>
  </si>
  <si>
    <t>곡식용 삽</t>
  </si>
  <si>
    <t>클럽 하우스</t>
  </si>
  <si>
    <t>사회적 혜택</t>
  </si>
  <si>
    <t>교사의 책상</t>
  </si>
  <si>
    <t>새로운 상점가</t>
  </si>
  <si>
    <t>밭</t>
  </si>
  <si>
    <t>울타리</t>
  </si>
  <si>
    <t>곡식</t>
  </si>
  <si>
    <t>채소</t>
  </si>
  <si>
    <t>양</t>
  </si>
  <si>
    <t>돼지</t>
  </si>
  <si>
    <t>소</t>
  </si>
  <si>
    <t>장작 채집자</t>
  </si>
  <si>
    <t>집사</t>
  </si>
  <si>
    <t>벽화 그리는 사람</t>
  </si>
  <si>
    <t>양 지킴이</t>
  </si>
  <si>
    <t>창고 관리인</t>
  </si>
  <si>
    <t>씨앗 장수</t>
  </si>
  <si>
    <t>제빵사</t>
  </si>
  <si>
    <t>쟁기 제작자</t>
  </si>
  <si>
    <t>재산 관리인</t>
  </si>
  <si>
    <t>무자녀</t>
  </si>
  <si>
    <t>삼림 감독관</t>
  </si>
  <si>
    <t>쟁기꾼</t>
  </si>
  <si>
    <t>숲 속 여관</t>
  </si>
  <si>
    <t>철새 서식지</t>
  </si>
  <si>
    <t>밀방망이</t>
  </si>
  <si>
    <t>버터 제조기</t>
  </si>
  <si>
    <t>상추밭</t>
  </si>
  <si>
    <t>우유 주전자</t>
  </si>
  <si>
    <t>갈대 연못</t>
  </si>
  <si>
    <t>잡초 베는 칼</t>
  </si>
  <si>
    <t>번호</t>
  </si>
  <si>
    <t>?</t>
  </si>
  <si>
    <t>직업</t>
  </si>
  <si>
    <t>장작 채집자/집사/벽화 그리는 사람</t>
  </si>
  <si>
    <r>
      <t>숲 속 여관/철새 서식지/밀방망이/</t>
    </r>
    <r>
      <rPr>
        <b/>
        <sz val="11"/>
        <color theme="1"/>
        <rFont val="맑은 고딕"/>
      </rPr>
      <t xml:space="preserve">화덕
</t>
    </r>
    <r>
      <rPr>
        <sz val="11"/>
        <color theme="1"/>
        <rFont val="맑은 고딕"/>
      </rPr>
      <t>버터 제조기/</t>
    </r>
    <r>
      <rPr>
        <b/>
        <sz val="11"/>
        <color theme="1"/>
        <rFont val="맑은 고딕"/>
      </rPr>
      <t>우물</t>
    </r>
  </si>
  <si>
    <t>설비 (안 쓴거 제외)</t>
  </si>
  <si>
    <t>직업 (안 쓴거 제외)</t>
  </si>
  <si>
    <t>필요자원</t>
  </si>
  <si>
    <t>나무</t>
  </si>
  <si>
    <t>개수</t>
  </si>
  <si>
    <t>방만들기</t>
  </si>
  <si>
    <t>집고치기</t>
  </si>
  <si>
    <t>보조설비</t>
  </si>
  <si>
    <t>흙집</t>
  </si>
  <si>
    <t>갈대</t>
  </si>
  <si>
    <t>나무방</t>
  </si>
  <si>
    <t>흙방</t>
  </si>
  <si>
    <t>돌방</t>
  </si>
  <si>
    <t>흙</t>
  </si>
  <si>
    <t>돌</t>
  </si>
  <si>
    <t>방 개수</t>
  </si>
  <si>
    <t>지을 방 개수</t>
  </si>
  <si>
    <t>보너스 적용</t>
  </si>
  <si>
    <t>일반적 계산</t>
  </si>
  <si>
    <t>총개수</t>
  </si>
  <si>
    <t>설비</t>
  </si>
  <si>
    <t>1순위</t>
  </si>
  <si>
    <t>2순위</t>
  </si>
  <si>
    <t>3순위</t>
  </si>
  <si>
    <t>음식</t>
  </si>
  <si>
    <t>총 개수</t>
  </si>
  <si>
    <t>4순위</t>
  </si>
  <si>
    <t>5순위</t>
  </si>
  <si>
    <t>6순위</t>
  </si>
  <si>
    <t>7순위</t>
  </si>
  <si>
    <t>이름</t>
  </si>
  <si>
    <t>외양간</t>
  </si>
  <si>
    <t>우물</t>
  </si>
  <si>
    <t>14개로</t>
  </si>
  <si>
    <t>보조 경작자</t>
  </si>
  <si>
    <t>본인</t>
  </si>
  <si>
    <t>시기</t>
  </si>
  <si>
    <t>효과</t>
  </si>
  <si>
    <t>티어</t>
  </si>
  <si>
    <t>- '날품팔이' 이용 시, 밭 1개 일구기</t>
  </si>
  <si>
    <t>초반</t>
  </si>
  <si>
    <t>가축</t>
  </si>
  <si>
    <t>애완동물 애호가</t>
  </si>
  <si>
    <t>- 가축 딱 1마리만 놓여있는 누적칸 이용시, 그 가축 남겨놓고
공동 창고에서 대신 가져오면서 음식 3개와 곡식 1개 추가</t>
  </si>
  <si>
    <t>산림 검수관</t>
  </si>
  <si>
    <t>- '숲'과 '흙 채굴장' 누적 행동 칸이 모두 이용될 때마다, 
두 행동 칸 사이의 공간을 나만 쓸 수 있는 공간으로 보고
이 행동칸을 이용하면 흙 2개와 나무 3개를 가져옵니다</t>
  </si>
  <si>
    <t>모두</t>
  </si>
  <si>
    <t>추가행동</t>
  </si>
  <si>
    <t>나무/흙</t>
  </si>
  <si>
    <t>실 잣는 사람</t>
  </si>
  <si>
    <t>곡식/채소</t>
  </si>
  <si>
    <t>류트 연주자</t>
  </si>
  <si>
    <t>타인</t>
  </si>
  <si>
    <t>- 다른 플레이어가 '유랑극단' 누적칸을 이용하면, 음식 1개와 나무 1개를 가져옵니다. 그 즉시 음식 2개를 내고 채소 1개를 살 수 있습니다.</t>
  </si>
  <si>
    <t>가족 늘리기</t>
  </si>
  <si>
    <t>뜨개질하는 사람</t>
  </si>
  <si>
    <t>- 5라운드부터, '양 시장' 누적 칸을 이용할 때 '빈 방이 있어야만 가족늘리기' 행동을 추가로 할 수 있습니다</t>
  </si>
  <si>
    <t>초중반</t>
  </si>
  <si>
    <t>마술사</t>
  </si>
  <si>
    <t>- '유랑극단' 누적 칸을 이용할 때, 나무 1개와 곡식 1개를 추가로 가져 옵니다</t>
  </si>
  <si>
    <t>- 자신을 포함한 누군가가 '갈대밭' 누적 행동 칸에서 갈대를 2개 이상 가져올때마다, 곡식 1개를 가져오거나 음식 2개 내고 채소 1개를 구입 가능</t>
  </si>
  <si>
    <t>농번기 일꾼</t>
  </si>
  <si>
    <t>- '날품팔이' 행동 칸을 이용할 때, 곡식 1개를 추가로 가져옵니다. 6라운드부터는 곡식 대신 채소 1개를 가져올 수도 있습니다</t>
  </si>
  <si>
    <t>작살꾼</t>
  </si>
  <si>
    <t>- '낚시' 누적 칸을 이용할 때, 나무 1개를 내고 가족 수만큼의 음식과 갈대 1개를 가져올 수 있습니다</t>
  </si>
  <si>
    <t>중반</t>
  </si>
  <si>
    <t>- 점수를 계산할 때, 가정 교사 이후에 내려놓은 직업 카드 1장당 추가 점수 1점씩을 받습니다</t>
  </si>
  <si>
    <t>광물학자</t>
  </si>
  <si>
    <t>- 흙/돌 누적 칸을 이용할 때마다, 돌/흙 1개를 가져옵니다</t>
  </si>
  <si>
    <t>게으른 파종꾼</t>
  </si>
  <si>
    <t>- 자기 차례에 '조건 없는 씨 뿌리기' 행동을 거부할 때마다, 즉시 내 가족 말 하나를 '회합 장소' 행동 칸을 제외한 원하는 행동 칸에 놓을 수 있습니다. 그 행동 칸이 이미 사용중이라도 상관없습니다</t>
  </si>
  <si>
    <t>개인 교사</t>
  </si>
  <si>
    <t>- '곡식 종자' 행동 칸을 이용할 때마다. '교습' 행동 칸 중 하나라도 가족 구성원이 놓여 있다면, 직업 비용으로 음식 1개를 내고 직업 1개를 내려놓을 수 있습니다.</t>
  </si>
  <si>
    <t>감자 캐는 사람</t>
  </si>
  <si>
    <t>- 이 카드를 내려놓을 때, 아무것도 심어지지 않은 밭 타일을 적어도 2/4/5개 갖고 있다면, 즉시 채소 1/2/3개를 가져옵니다</t>
  </si>
  <si>
    <t>후반</t>
  </si>
  <si>
    <t>정원 수석 관리인</t>
  </si>
  <si>
    <r>
      <t>갈대 모자를 쓴 두꺼비/화덕/</t>
    </r>
    <r>
      <rPr>
        <b/>
        <sz val="11"/>
        <color theme="1"/>
        <rFont val="맑은 고딕"/>
      </rPr>
      <t>진흙 웅덩이</t>
    </r>
    <r>
      <rPr>
        <sz val="11"/>
        <color theme="1"/>
        <rFont val="맑은 고딕"/>
      </rPr>
      <t>/음식 상자</t>
    </r>
  </si>
  <si>
    <t>지질학자</t>
  </si>
  <si>
    <t>나무 수확하는 사람</t>
  </si>
  <si>
    <t>직인 벽돌공</t>
  </si>
  <si>
    <t>바구니 짜는 사람</t>
  </si>
  <si>
    <t>나무 운반업자</t>
  </si>
  <si>
    <t>흙 굽는 사람</t>
  </si>
  <si>
    <t>밭 일구기 달인</t>
  </si>
  <si>
    <t>숯 굽는 사람</t>
  </si>
  <si>
    <t>나무농장 일꾼</t>
  </si>
  <si>
    <t>건설업계 거물</t>
  </si>
  <si>
    <t>벽돌공</t>
  </si>
  <si>
    <t>시장 호객꾼</t>
  </si>
  <si>
    <t>양조장 연못</t>
  </si>
  <si>
    <t>청어 냄비</t>
  </si>
  <si>
    <t>빵삽</t>
  </si>
  <si>
    <t>콩밭</t>
  </si>
  <si>
    <t>신규 구매</t>
  </si>
  <si>
    <t>곡식저장고</t>
  </si>
  <si>
    <t>추수용 낫</t>
  </si>
  <si>
    <t>빵 굽는 판</t>
  </si>
  <si>
    <t>아늑한 집</t>
  </si>
  <si>
    <t>양치기 지팡이</t>
  </si>
  <si>
    <t>갈대 모자를 쓴 두꺼비</t>
  </si>
  <si>
    <t>진흙 웅덩이</t>
  </si>
  <si>
    <t>음식 상자</t>
  </si>
  <si>
    <t>씨뿌리기</t>
  </si>
  <si>
    <t>빵굽기</t>
  </si>
  <si>
    <t>방 만들기</t>
  </si>
  <si>
    <t>시작 플레이어 되기</t>
  </si>
  <si>
    <t>울타리 치기</t>
  </si>
  <si>
    <t>집 고치기</t>
  </si>
  <si>
    <t>주요 설비 놓기</t>
  </si>
  <si>
    <t>자원/행동</t>
  </si>
  <si>
    <t>행동</t>
  </si>
  <si>
    <t>군인</t>
  </si>
  <si>
    <t>- 점수를 계산할 때, 개인 창고에 있는 돌-나무 세트마다 추가점수 1점을 받습니다. 이 카드로 점수를 받은 자원들은 다른 점수를 받기 위해 사용 불가능</t>
  </si>
  <si>
    <t>강기슭 양치기</t>
  </si>
  <si>
    <t>- '양 시장'이나 '갈대밭' 누적 행동 칸 중 한 곳을 이용할 때마다, 나머지 다른 행동 칸에 남아있는 자원 1개를 가져옵니다</t>
  </si>
  <si>
    <t>가축 조련사</t>
  </si>
  <si>
    <t>- 이 카드를 내려놓으면 즉시 나무 1개나 곡식 1개를 가져옵니다. 집에 있는 방1개마다 가축 1마리씩을 키울 수 있습니다. 방마다 서로 다른 가축을 키워도 됩니다</t>
  </si>
  <si>
    <t>가축 보호자</t>
  </si>
  <si>
    <t>- '울타리' 행동 칸을 이용하기 직전에 나무 2개를 가져옵니다.
이 '울타리' 행동을 한 직후에 추가로 다음 가족 구성원을 놓을 수 있습니다</t>
  </si>
  <si>
    <t>급사장</t>
  </si>
  <si>
    <t>- 이 카드를 놓을 때, 그리고 라운드 준비 단계에 돌 누적 행동 칸이 라운드 칸에 나타날 때마다, 나무 1개를 가져오고 '보조 설비' 행동을 얻습니다</t>
  </si>
  <si>
    <t>보조 설비</t>
  </si>
  <si>
    <t>보조 설비 행동</t>
  </si>
  <si>
    <t>굴뚝 청소부</t>
  </si>
  <si>
    <t>돌집</t>
  </si>
  <si>
    <t>- 돌집으로 집을 고칠 때 비용으로 돌2개를 적게 냅니다. 점수를 계산할떄, 돌집에 살고 있는 다른 플레이어 1명마다 추가점수 1점을 받습니다</t>
  </si>
  <si>
    <t>공처가</t>
  </si>
  <si>
    <t>- 당신의 두 번째 가족 구성원을 놓아서 '방 만들기' 행동을 이용할 때마다, 당신이 첫 번째로 놓았던 가족 구성원을 집으로 되돌립니다. 그 가족말이 '회합 장소'에 놓여있었다면, 집으로 되돌리지 않습니다</t>
  </si>
  <si>
    <t>경건한 배우자</t>
  </si>
  <si>
    <t>- 당신의 두 번째 가족 구성원을 놓아서 '가족 늘리기' 행동을 이용할 때마다, 당신이 첫 번째로 놓았던 가족 구성원을 집으로 되돌립니다</t>
  </si>
  <si>
    <t>구매하는 사람</t>
  </si>
  <si>
    <t>- 다른 플레이어가 갈대나 돌, 양, 혹은 멧돼지 누적 칸을 이용할 때마다, 그 플레이어에게 음식 1개를 주고 해당 자원 1개를 공동 창고에서 가져올 수 있습니다</t>
  </si>
  <si>
    <t>가축 상인</t>
  </si>
  <si>
    <t>- '양 시장'이나 '돼지 시장', '소 시장' 누적 칸을 이용할 때, 음식 1개를 내고 해당 종류 가축 한 마리를 추가로 살 수 있습니다</t>
  </si>
  <si>
    <t>경리관</t>
  </si>
  <si>
    <t>- 다른 플레이어가 음식 누적 행동 칸을 이용할 때마다, 그 플레이어에게 곡식 1개를 주고 추가점수 1점을 받을 수 있습니다</t>
  </si>
  <si>
    <t>가축 분양업자</t>
  </si>
  <si>
    <t>- 한 차례에 나무방/흙방/돌방을 1개 이상 짓고 외양간도 1개 이상 지을 때마다, 양/멧돼지/소 1마리를 추가로 가져옵니다</t>
  </si>
  <si>
    <t>가압류 집행관</t>
  </si>
  <si>
    <t>- 이 카드 위에 갈대 3개와 흙 4개를 올려놓습니다. 가장 먼저 농장에 우리 3개/밭 타일 5개를 가진 플레이어가 갈대 3개/흙 4개를 가져갑니다. 이 카드를 놓기 전에 우리 3개/밭 타일 5개를 완성한 플레이어는 보상을 받을 수 없습니다</t>
  </si>
  <si>
    <t>갈대/흙</t>
  </si>
  <si>
    <t>건초 말리는 사람</t>
  </si>
  <si>
    <t>가마 때는 사람</t>
  </si>
  <si>
    <t>-</t>
  </si>
  <si>
    <t>- 나무 누적 칸을 이용할 때, '빵 굽기' 행동을 추가로 할 수 있습니다</t>
  </si>
  <si>
    <t>갈대 바가지 상인</t>
  </si>
  <si>
    <t>- 아무 때나 갈대 1개를 음식 3개로 바꿀 수 있습니다. 하지만 이떄 다른 플레이어가 원한다면, 그 플레이어에게 음식 2개를 받고 이 갈대를 팔아야 합니다. 만약 여러 플레이어가 원한다면, 당신이 그 중 한 명을 고릅니다</t>
  </si>
  <si>
    <t>가구 제작자</t>
  </si>
  <si>
    <t>- 이 카드를 내려놓으면 즉시 나무 1개를 가져옵니다. 이 카드를 내려놓은 후에 직업을 놓을 때마다, 직업 비용으로 낸 음식 개수만큼 나무를 가져옵니다</t>
  </si>
  <si>
    <t>교습</t>
  </si>
  <si>
    <t>감자 심는 사람</t>
  </si>
  <si>
    <t xml:space="preserve">- 당신은 '흙 채굴장'이나 '갈대밭' 누적 칸 중 한쪽만 이용한 라운드의 일하기 단계가 끝날 때, 둘 중 이용하지 않은 행동 칸이 비어있다면, 채소 1개를 가져옵니다 </t>
  </si>
  <si>
    <t>- 다른 플레이어가 방을 1개 이상 만든 후에 한 번씩, 당신은 그 플레이어에게 음식 1개를 주고 방 1개를 만들 수 있습니다. (방을 만드는 비용은 내야 합니다)</t>
  </si>
  <si>
    <t>굴 먹는 사람</t>
  </si>
  <si>
    <t>- 누구든 (이 카드를 낸 플레이어 포함) '낚시' 누적 칸을 이용할 때마다, 당신은 추가 점수 1점을 받고, 이번 라운드에서 당신의 바로 다음 가족 구성원을 놓는 과정을 건너뛰어야 합니다. (이 가족 구성원은 이번 라운드의 다음 차례에 다시 놓을 수 있습니다)</t>
  </si>
  <si>
    <t>근면한 사람</t>
  </si>
  <si>
    <t>- 이 카드는 당신만 이용할 수 있는 행동 칸입니다. 만약 다른 플레이어들이 모두 당신보다 방을 많이 갖고 있다면, 이 카드의 행동 칸을 통해 '날품팔이', '방 만들기', '주요 설비 짓기' 행동을 전부 할 수 있습니다</t>
  </si>
  <si>
    <t>가축 관리자</t>
  </si>
  <si>
    <t>- 이 카드를 놓을 때 1/3/6/9번의 라운드가 남았다면 나무 1/2/3/4개를 가져옵니다. 점수를 계산할 때, 모든 종류의 동물을 2/3/4마리 이상 모은 플레이어는 모두 추가점수 1/3/5점씩을 받습니다</t>
  </si>
  <si>
    <t>가축 잡는 사람</t>
  </si>
  <si>
    <t>가축 사육사</t>
  </si>
  <si>
    <t>길잡이</t>
  </si>
  <si>
    <t>- 가장 최근에 공개되어 라운드 칸에 놓인 행동 칸 카드를 이용하기 직전에, 곡식 1개를 가져옵니다</t>
  </si>
  <si>
    <t>가구 만드는 목수</t>
  </si>
  <si>
    <t>- 매 수확마다, 아무 플레이어(이 카드를 낸 플레이어 포함)가 가구 제작소 또는 가구 제작소가 개선된 설비를 갖고 있다면, 당신은 음식 2개로 추가점수 1점을 구매할 수 있습니다</t>
  </si>
  <si>
    <t>가구 제작소</t>
  </si>
  <si>
    <t>가을의 어머니</t>
  </si>
  <si>
    <t>- 수확을 하기 직전에, 집에 빈 방이 있다면 음식 3개를 내고 '가족 늘리기' 행동을 할 수 있습니다</t>
  </si>
  <si>
    <t>- 다른 플레이어가 '갈대밭' 누적 행동 칸을 이용할 때마다 방 한 개를 만들 수 있습니다. 이 효과를 통해 흙집/돌집 방을 만든다면 건설 비용에서 흙 1개/돌 2개를 할인 받습니다</t>
  </si>
  <si>
    <t>석공</t>
  </si>
  <si>
    <t>착유소</t>
  </si>
  <si>
    <t>도토리 바구니</t>
  </si>
  <si>
    <t>나무 정원사</t>
  </si>
  <si>
    <t>확보 개수</t>
  </si>
  <si>
    <t>완료</t>
  </si>
  <si>
    <t>갈돌음</t>
  </si>
  <si>
    <t>바구니 제작소</t>
  </si>
  <si>
    <t>가늘</t>
  </si>
  <si>
    <t>선턴</t>
  </si>
  <si>
    <t>양 공급자</t>
  </si>
  <si>
    <t>팬케이크 굽는 사람</t>
  </si>
  <si>
    <t>삼림 보호자</t>
  </si>
  <si>
    <t>목장 감독관</t>
  </si>
  <si>
    <t>과일 장수</t>
  </si>
  <si>
    <t>유지 보험료</t>
  </si>
  <si>
    <t>흙지게</t>
  </si>
  <si>
    <t>잔디 비료</t>
  </si>
  <si>
    <t>약속 어음</t>
  </si>
  <si>
    <r>
      <rPr>
        <b/>
        <sz val="11"/>
        <color theme="1"/>
        <rFont val="맑은 고딕"/>
      </rPr>
      <t>작살꾼/창고 관리인/나무 정원사</t>
    </r>
    <r>
      <rPr>
        <sz val="11"/>
        <color theme="1"/>
        <rFont val="맑은 고딕"/>
      </rPr>
      <t>/집사/
석공</t>
    </r>
  </si>
  <si>
    <r>
      <rPr>
        <b/>
        <sz val="11"/>
        <color theme="1"/>
        <rFont val="맑은 고딕"/>
      </rPr>
      <t>통나무배/착유소/</t>
    </r>
    <r>
      <rPr>
        <sz val="11"/>
        <color theme="1"/>
        <rFont val="맑은 고딕"/>
      </rPr>
      <t>새로운 상점가/
도토리 바구니</t>
    </r>
  </si>
  <si>
    <t>건축 전문가</t>
  </si>
  <si>
    <t>- '자원 시장' 행동칸을 내 1/2/3/4/5번째 가족 말로 이용할 때마다, 나무/흙/갈대/돌/돌 1개를 추가로 가져옵니다</t>
  </si>
  <si>
    <t>골조 건축업자</t>
  </si>
  <si>
    <t>- 집을 고치거나 방을 만들때마다 그 차례 중에 한 번 흙 2개나 돌 2개 대신 나무 1개를 낼 수 있습니다</t>
  </si>
  <si>
    <t>길들이기 전문가</t>
  </si>
  <si>
    <t>- 인접한 방 2개 사이의 경계에 양 2마리를 키울 수 있습니다</t>
  </si>
  <si>
    <t>- 이 카드를 내려놓을때 1/3/6/9번의 라운드가 남았다면 나무 1/2/3/4개를 가져옵니다. 점수를 계산할 때 집에 방이 가장 많은 플레이어 모두가 추가점수 3점씩을 받습니다.</t>
  </si>
  <si>
    <t>- 자원 시장' 행동 칸을 이용할 때, 흙 1개나 곡식 1개를 추가로 가져갑니다</t>
  </si>
  <si>
    <t>- 수확 중 농장 단계마다, 나무 1개를 가져옵니다. 또한 나무를 2개까지 추가로 구입할 수 있습니다. 구입 비용은 나무 1개당 음식 1개입니다</t>
  </si>
  <si>
    <t>- 이 카드를 놓을 때 즉시 내 앞에 놓인 설비 1개마다 나무 1개씩을 가져옵니다</t>
  </si>
  <si>
    <t>나무꾼</t>
  </si>
  <si>
    <t>- 나무 누적 칸을 이용할 때, 나무 1개를 추가로 가져옵니다</t>
  </si>
  <si>
    <t>나무 3개</t>
  </si>
  <si>
    <t>나무/갈대</t>
  </si>
  <si>
    <t>- 11라운드 이전에 이 카드를 내려놓았고, 점수를 계산할 때 가족 구성원의 수보다 더 많은 방을 갖고 있다면 추가점수 4점을 얻습니다</t>
  </si>
  <si>
    <t>농장 일꾼</t>
  </si>
  <si>
    <t>- 게임 중 한 번 '외양간 짓기' 행동으로 2*2 형태의 밭 중앙에 외양간을 지을 수 있습니다. 이 외양간은 가족 구성원 1명을 위한 방을 제공하지만, 여기에서 가축은 키울 수 없습니다</t>
  </si>
  <si>
    <t>- 수확 중 농장 단계마다, 정확히 나무 2개/나무 3+개가 올려진 나무 누적 행동 칸마다 나무/음식 1개를 가져옵니다</t>
  </si>
  <si>
    <t>나무 지붕 제작자</t>
  </si>
  <si>
    <t>- 돌집으로 집을 고칠 때, 개인 창고에서 나무를 가져와 원하는 방마다 최대 1개씩을 놓칠 수 있습니다. 점수를 계산할 때, 이렇게 방에 놓여 있는 나무 1개마다 추가점수 1점을 받습니다.</t>
  </si>
  <si>
    <t>농경 대장</t>
  </si>
  <si>
    <t>- 다른 플레이어가 이미 놓여있는 밭 타일 옆에 새로운 밭 타일을 놓을 때마다, 당신은 그렇게 놓은 밭 타일마다 공동 창고에서 음식 1개씩을 가져옵니다. 14라운드에서는 음식 대신 곡식 1개씩을 가져옵니다</t>
  </si>
  <si>
    <t>나무 경비원</t>
  </si>
  <si>
    <t>- 나무 누적 칸을 이용할 때마다 그 후에, 개인 창고에서 나무 4개를 가져와 그 칸에 놓고, 돌 2개와 흙 1개, 갈대 1개, 곡식 1개를 가져올 수 있습니다</t>
  </si>
  <si>
    <t>농장 다듬는 사람</t>
  </si>
  <si>
    <t>- 일하기 단계에서, 1개 이상의 농장칸을 울타리로 둘러쌀 때마다 돌 2개를 가져옵니다. (이미 있는 우리를 나누는 것은 해당되지 않습니다)</t>
  </si>
  <si>
    <t>낚시광</t>
  </si>
  <si>
    <t>- 2개 이하의 음식이 놓인 '낚시' 누적 행동 칸을 이용할 때마다, 그 직후에 즉시 '주요 설비나 보조 설비' 행동을 얻습니다.</t>
  </si>
  <si>
    <t>나무 농장 가구공</t>
  </si>
  <si>
    <t>- 다음 홀수 라운드 칸 2개에 나무 1개씩을 놓습니다. 해당 라운드가 시작될 때 이 나무를 가져온 뒤, 즉시 '보조 설비 내리기' 행동을 할 수 있습니다</t>
  </si>
  <si>
    <t>나무 전문가</t>
  </si>
  <si>
    <t>- 이 카드를 내려놓을 때, 즉시 나무 2개를 가져옵니다. 설비의 비용을 낼 때, 음식 1개를 내면 나무를 2개까지 적게 낼 수 있습니다.</t>
  </si>
  <si>
    <t>- 이 카드는 당신만 이용할 수 있는 '나무 1개' 누적 칸입니다. '채석장(동부/서부)' 누적 칸 카드가 공개될 때마다, 이 카드 위의 나무를 모두 버립니다</t>
  </si>
  <si>
    <t>나무 감독관</t>
  </si>
  <si>
    <t>나무 자르는 사람</t>
  </si>
  <si>
    <t>- 나무가 아닌 한 종류의 물건이 3개 이상 놓여있는 누적 칸을 이용할 때마다, 나무 1개를 추가로 가져옵니다. (음식도 물건입니다)</t>
  </si>
  <si>
    <t>나무집 늘리는 사람</t>
  </si>
  <si>
    <t>- 나무집 방의 비용이 5라운드까지는 갈대 1개와 나무 5개, 6~7라운드에는 갈대 1개와 나무 4개, 8라운드에는 갈대 1개와 나무 3개가 됩니다</t>
  </si>
  <si>
    <t>나뭇가지 모으는 사람</t>
  </si>
  <si>
    <t>- 방을 만들 때, 집을 고칠 때마다 필요한 갈대 1개나 2개를 나무 1개로 대신할 수 있습니다</t>
  </si>
  <si>
    <t>농경 노동자</t>
  </si>
  <si>
    <t>- 흙 8개를 이 카드 위에 놓습니다. 곡식을 얻을 때마다 그만큼의 흙을 이 카드에서 가져옵니다</t>
  </si>
  <si>
    <t>뜨내기 노동자</t>
  </si>
  <si>
    <t>- 차례마다 한 번 '농장 확장'이나 '곡식 종자' 행동 칸 중 한 곳을 이용할 때마다, 그 직후에 방금 사용한 가족 말을 옮겨서 나머지 행동칸도 이용할 수 있습니다. 다른 가족 말이 이미 놓인 칸이어도 가능합니다</t>
  </si>
  <si>
    <t>도로 포장공</t>
  </si>
  <si>
    <t>- 매 준비 단계가 끝날 때마다, 개인 창고에 돌이 1개 이상 있다면 음식 1개를 가져옵니다. 14라운드에서는 음식 대신에 채소 1개를 가져옵니다</t>
  </si>
  <si>
    <t>동물 운동가</t>
  </si>
  <si>
    <t>- 이 카드를 내려놓을 때, 3/6/9번의 라운드가 남았다면, 나무 2/3/4개를 가져옵니다. 점수를 계산할 때, 울타리 친 외양간을 가장 많이 갖고 있는 플레이어 모두가 추가점수 2점씩을 받습니다.</t>
  </si>
  <si>
    <t>도덕성 회복 운동가</t>
  </si>
  <si>
    <t>- 매 라운드를 시작하기 직전에, 남은 라운드 칸 위에 당신이 가져갈 물건이 올려져 있다면, 음식 1개를 가져옵니다</t>
  </si>
  <si>
    <t>- 모든 설비의 비용을 낼 때나 방을 만들 때, 집을 고칠 때, 항상 돌 1개씩을 적게 냅니다.</t>
  </si>
  <si>
    <t>돌 구매자</t>
  </si>
  <si>
    <t>- 이 카드를 내려놓을 때 한 번, 음식 1개를 내고 돌 2개를 구매할 수 있습니다. 다음 라운드부터 라운드마다 한 번씩, 음식 2개를 내고 돌 1개를 구매할 수 있습니다</t>
  </si>
  <si>
    <t>동물 훈련가</t>
  </si>
  <si>
    <t>작은 동물 사육사</t>
  </si>
  <si>
    <t>여물통</t>
  </si>
  <si>
    <t>정원 괭이</t>
  </si>
  <si>
    <t>종 주조사</t>
  </si>
  <si>
    <t>바구니 나르는 사람</t>
  </si>
  <si>
    <t>흙가마</t>
  </si>
  <si>
    <t>건축자원</t>
  </si>
  <si>
    <t>9월 2일</t>
  </si>
  <si>
    <r>
      <t>작은 동물 사육사/</t>
    </r>
    <r>
      <rPr>
        <b/>
        <sz val="11"/>
        <color theme="1"/>
        <rFont val="맑은 고딕"/>
      </rPr>
      <t>여물통</t>
    </r>
    <r>
      <rPr>
        <sz val="11"/>
        <color theme="1"/>
        <rFont val="맑은 고딕"/>
      </rPr>
      <t>/</t>
    </r>
    <r>
      <rPr>
        <b/>
        <sz val="11"/>
        <color theme="1"/>
        <rFont val="맑은 고딕"/>
      </rPr>
      <t>바구니 나르는 사람</t>
    </r>
    <r>
      <rPr>
        <sz val="11"/>
        <color theme="1"/>
        <rFont val="맑은 고딕"/>
      </rPr>
      <t>/</t>
    </r>
    <r>
      <rPr>
        <b/>
        <sz val="11"/>
        <color theme="1"/>
        <rFont val="맑은 고딕"/>
      </rPr>
      <t>슈납스 양조자</t>
    </r>
  </si>
  <si>
    <r>
      <rPr>
        <b/>
        <sz val="11"/>
        <color theme="1"/>
        <rFont val="맑은 고딕"/>
      </rPr>
      <t>콩밭</t>
    </r>
    <r>
      <rPr>
        <sz val="11"/>
        <color theme="1"/>
        <rFont val="맑은 고딕"/>
      </rPr>
      <t>/정원 괭이</t>
    </r>
  </si>
  <si>
    <t>풍차 제작자</t>
  </si>
  <si>
    <t>풍차 장인</t>
  </si>
  <si>
    <t>- 이 카드를 내려놓을 때, 즉시 곡식 1개를 가져옵니다. 하나 이상의 울타리를 치거나, 하나 이상의 외양간을 짓거나, 하나 이상의 방을 만들거나, 집을 고칠 때마다, 비용에서 아무 건축 자원이나 2개까지 곡식으로 대신 낼 수 있습니다</t>
  </si>
  <si>
    <t>- 수확 때마다 한 번씩, 음식 2개를 내고 나무 1개와 갈대 1개, 곡식 1개를 구매할 수 있습니다</t>
  </si>
  <si>
    <t>소형 가축 사육사</t>
  </si>
  <si>
    <t>- 매 라운드를 시작하기 전에, 현재 라운드 수 이상의 음식을 갖고 있다면(예를 들어 8라운드라면 음식 8개 이상) 음식 1개를 가져옵니다</t>
  </si>
  <si>
    <t>순무 농사꾼</t>
  </si>
  <si>
    <t>가축 포획자</t>
  </si>
  <si>
    <t>청사진</t>
  </si>
  <si>
    <t>책꽂이</t>
  </si>
  <si>
    <t>지붕 사다리</t>
  </si>
  <si>
    <t>쇠스랑</t>
  </si>
  <si>
    <t>짚더미</t>
  </si>
  <si>
    <t>현재</t>
  </si>
  <si>
    <t>최대 개수</t>
  </si>
  <si>
    <t>최소 개수</t>
  </si>
  <si>
    <t>비율</t>
  </si>
  <si>
    <t>두 번째 배우자</t>
  </si>
  <si>
    <t>- 다른 플레이어들이 이미 가족 구성원을 '급한 가족 늘리기' 행동 칸에 놓았더라도, 그 가족 구성원이 그 플레이어들의 첫 번째 가족말이라면 당신은 그 칸을 이용할 수 있습니다</t>
  </si>
  <si>
    <t>돼지 소유주</t>
  </si>
  <si>
    <t>- 이 카드를 내려놓은 이후에 농장에 멧돼지 5마리를 처음으로 키우는 순간, 즉시 추가점수 3점을 받습니다</t>
  </si>
  <si>
    <t>돼지 사육사</t>
  </si>
  <si>
    <t>- 이 카드를 내려놓으면 즉시 멧돼지 1마리를 가져옵니다. 12라운드가 끝날 때, 멧돼지가 번식합니다. (새끼 돼지를 키울 수 있는 공간이 있어야 합니다.)</t>
  </si>
  <si>
    <t>돌 가공인</t>
  </si>
  <si>
    <t>- 5~7라운드 칸에 놓인 행동 칸을 이용할 때마다 , 그 직전에 돌 1개를 가져옵니다</t>
  </si>
  <si>
    <t>덫 제작자</t>
  </si>
  <si>
    <t>- '날품팔이' 행동 칸을 이용할 때마다, 다음 라운드 칸 3개에 음식 1개, 음식 1개, 멧돼지 1마리를 순서대로 놓습니다. 해당 라운드가 시작될 때마다 해당되는 물건을 가져옵니다</t>
  </si>
  <si>
    <t>동물 사냥꾼</t>
  </si>
  <si>
    <t>돼지/소</t>
  </si>
  <si>
    <t>도매업자</t>
  </si>
  <si>
    <t>- 이 카드 위에 채소 1개, 멧돼지 1마리, 돌 1개, 소 1마리를 놓습니다. 8에서 11라운드 행동 칸을 이용할 때마다, 그 칸에 해당하는 물건을 이 카드에서 가져옵니다.</t>
  </si>
  <si>
    <t>무대 담당자</t>
  </si>
  <si>
    <t>목장 우두머리</t>
  </si>
  <si>
    <t>- 다른 플레이어가 '유랑극단' 누적 행동 칸을 이용할 때마다, '울타리 치기'나 '외양간 짓기' 혹은 '방 만들기' 행동 중 한 가지를 할 수 있습니다</t>
  </si>
  <si>
    <t>- 이 카드를 내려놓을 때, 3/6/9번의 라운드가 남았다면, 나무 2/3/4개를 가져옵니다. 점수를 계산할 때, 가축 수용량이 가장 큰 우리를 가진 플레이어 모두가 추가점수 3점씩을 받습니다</t>
  </si>
  <si>
    <t>무자식</t>
  </si>
  <si>
    <t>- 라운드가 시작될 때마다 방이 3개 이상인 집에 살지만 가족이 2명 뿐이라면, 음식 1개와 작물 1개(곡식이나 채소)를 가져올 수 있습니다</t>
  </si>
  <si>
    <t>마부</t>
  </si>
  <si>
    <t>- 이 카드를 내려놓으면 즉시 나무 1개를 가져옵니다. 돌집에 살고 있다면, 매 라운드가 시작될 때마다 나무 1개를 내고 외양간 1개를 지을 수 있습니다</t>
  </si>
  <si>
    <t>물 일꾼</t>
  </si>
  <si>
    <t>- '낚시' 누적 칸이나, 그 칸과 인접한 세 행동 칸을 이용할 때마다, 그 직후에 갈대 1개를 추가로 가져옵니다</t>
  </si>
  <si>
    <t>마을 소작농</t>
  </si>
  <si>
    <t>- 점수 계산을 시작할 때, 당신이 갖고 있는 주요 설비, 보조 설비, 직업의 개수 중에 가장 적은 개수만큼의 채소를 가져옵니다</t>
  </si>
  <si>
    <t>혼합 벽토</t>
  </si>
  <si>
    <t>선잡기</t>
  </si>
  <si>
    <t>가축 수용소</t>
  </si>
  <si>
    <t>9월 8일</t>
  </si>
  <si>
    <t>감자 캐는 사람/시장 호객꾼/사냥꾼</t>
  </si>
  <si>
    <r>
      <t>흙집 골조/개척 정신/</t>
    </r>
    <r>
      <rPr>
        <b/>
        <sz val="11"/>
        <color theme="1"/>
        <rFont val="맑은 고딕"/>
      </rPr>
      <t>가축 수용소/수렵 기념물</t>
    </r>
  </si>
  <si>
    <t>사냥꾼</t>
  </si>
  <si>
    <t>버섯 따는 사람</t>
  </si>
  <si>
    <t>나무 교환하는 사람</t>
  </si>
  <si>
    <t>상담가</t>
  </si>
  <si>
    <t>개척 정신</t>
  </si>
  <si>
    <t>수렵 기념물</t>
  </si>
  <si>
    <t>나무 공예</t>
  </si>
  <si>
    <t>지속적 호밀 경작</t>
  </si>
  <si>
    <t>맥주 잠금 꼭지</t>
  </si>
  <si>
    <t>교육 수당</t>
  </si>
  <si>
    <t>증기력 쟁기</t>
  </si>
  <si>
    <t>퇴비용 갈퀴</t>
  </si>
  <si>
    <t>석회 비료</t>
  </si>
  <si>
    <t>흙 4개</t>
  </si>
  <si>
    <t>농경은 노동력이 많이 필요함
초반 빌드업을 미리 계획 세우는게 중요할듯</t>
  </si>
  <si>
    <t>마마보이</t>
  </si>
  <si>
    <t>- 매 라운드 한 번, 자기 차례에 내가 두 번째 가족 말을 놓은 곳에 가족 말을 다시 놓고 그 행동 칸을 한 번 더 이용할 수 있습니다. 두 번째 가족말을 놓은 위치를 표시하십시오</t>
  </si>
  <si>
    <t>목양업자</t>
  </si>
  <si>
    <t>- 이 카드 위에 양을 키울 수 있습니다. 이 카드 위에 키울 수 있는 양의 최대 마리 수는 지금까지 완료된 '가족 먹여살리기 횟수'와 같습니다</t>
  </si>
  <si>
    <t>- 다른 플레이어가 '낚시/갈대밭' 누적 행동 칸을 이용할 때마다, 그 플레이어에게 나무 1개를 주고 공동 창고에서 음식 2/3개를 가져올 수 있습니다</t>
  </si>
  <si>
    <t>멧돼지 사냥꾼</t>
  </si>
  <si>
    <t>맥주 부스 운영자</t>
  </si>
  <si>
    <t>- 매 수확마다 가족 먹여살리기 단계에서, 이 카드를 이용하여 나무 1개와 곡식 1개를 추가점수 1점과 음식 2개로 바꿀 수 있습니다</t>
  </si>
  <si>
    <t>목수 견습생</t>
  </si>
  <si>
    <t>- 나무집 방의 비용으로 나무 2개를 적게 냅니다. 3~4번째 짓는 외양간은 비용으로 나무 1개를 적게 냅니다. 13~15번째 치는 울타리는 비용을 내지 않습니다</t>
  </si>
  <si>
    <t>목수</t>
  </si>
  <si>
    <t>- 방을 만들 때, 방 1개당 비용으로 집 종류에 따른 자원 3개와 갈대 2개만 냅니다</t>
  </si>
  <si>
    <t>마구간 주인</t>
  </si>
  <si>
    <t>- 울타리가 없는 외양간을 0/1/2/3/4개 갖고 있다면, 라운드마다 한 번 곡식 2개를 추가점수 1점과 음식 1/2/3/4/5개로 바꿀 수 있습니다</t>
  </si>
  <si>
    <t>미술교사</t>
  </si>
  <si>
    <t>- 이 카드를 내려놓으면, 즉시 나무 1개와 갈대 1개를 가져옵니다. 직업 비용을 낼 때, '유랑극단' 누적 칸에 있는 음식을 사용할 수 있습니다</t>
  </si>
  <si>
    <t>- 방이 2개뿐인 집에 사는 유일한 플레이어가 되면, 즉시 나무 3개와 흙 2개, 갈대 1개, 돌 1개를 가져옵니다</t>
  </si>
  <si>
    <t>- 나무 누적 칸을 이용할 때, 나무 1개를 그 칸에 남겨 놓고 음식 2개를 대신 가져올 수 있습니다</t>
  </si>
  <si>
    <t>비료 뿌리는 사람</t>
  </si>
  <si>
    <t>- 수확 중 농장 단계마다, 각 밭에 놓인 곡식/채소를 가져올 때마다, 음식 2/1개를 추가로 가져옵니다</t>
  </si>
  <si>
    <t>발품 파는 사람</t>
  </si>
  <si>
    <t>- 당신의 가족 구성원이 놓여있는 행동 칸과 인접한 행동 칸을 이용할 때마다, 나무 1개를 가져옵니다</t>
  </si>
  <si>
    <t>벌목의 거장</t>
  </si>
  <si>
    <t>- 매 수확 때마다, 개인 창고에 나무가 5개 이상 있으면, 개인 창고의 나무를 5개가 되도록 버린 다음, '외양간 짓기'나 나무집 방 만들기' 행동을 할 수 있습니다. (해당되는 비용은 정상적으로 내야 합니다)</t>
  </si>
  <si>
    <t>보헤미안</t>
  </si>
  <si>
    <t>- 매 라운드 집에 돌아오기 단계가 시작될 때마다, '교습' 행동 칸이 한 칸이라도 비어있다면, 음식 1개를 가져옵니다</t>
  </si>
  <si>
    <t>배관공</t>
  </si>
  <si>
    <t>주요 설비</t>
  </si>
  <si>
    <t>밭 경작자</t>
  </si>
  <si>
    <t>- 이 카드 위에 밑에서부터 나무 1개, 흙 1개, 갈대 1개, 돌 1개, 갈대 1개, 흙 1개, 나무 1개를 순서대로 쌓습니다. 밭 타일에서 수확할 때마다, 맨 위에 있는 물건 1개를 가져올 수 있습니다</t>
  </si>
  <si>
    <t>- '유랑극단' 누적 행동 칸을 이용할 때마다, '방 만들기' 행동을 추가로 얻습니다. 이 행동의 효과로 만드는 방마다 갈대 1개씩을 할인 받습니다</t>
  </si>
  <si>
    <t>부유한 농장주</t>
  </si>
  <si>
    <t>- 이 카드를 놓을 때, 즉시 나무 1개와 흙 1개를 가져옵니다. 점수를 계산할 때, 가축 수용량 만큼 동물을 가득 채운 우리마다 추가점수 1점을 받습니다</t>
  </si>
  <si>
    <t>벽 건축가</t>
  </si>
  <si>
    <t>- 방을 1개 이상 만들 때, 다음 라운드 칸 4개에 음식 1개씩을 놓습니다. 해당 라운드가 시작될 때마다 이 음식을 가져옵니다.</t>
  </si>
  <si>
    <t>발굽 돌보미</t>
  </si>
  <si>
    <t>- 즉시 공동 창고에서 소 1마리를 가져와 '소 시장' 누적 칸에 놓습니다. 그러고 나서, 곡식 1개와 '소 시장'에 있는 소 1마리마다 음식 1개씩을 가져옵니다</t>
  </si>
  <si>
    <t>부유한 사람</t>
  </si>
  <si>
    <t>- 1/2/3/4/5/6번째 수확이 시작될 때, 곡식밭을 최소한 1/2/3/4/5/6개 이상 가지고 있다면, 추가점수 1점을 받습니다</t>
  </si>
  <si>
    <t>바구니 엮는 사람</t>
  </si>
  <si>
    <t>- 이 카드를 내려놓을 때, 즉시 '바구니 제작소' 주요 설비를 지을 수 있습니다. 이 때 비용으로 돌 1개와 갈대 1개만 냅니다</t>
  </si>
  <si>
    <t>변두리 관리자</t>
  </si>
  <si>
    <t>- '수풀'/'점토 채굴장' 누적 칸을 이용할 때마다, 갈대 2개를 가져와 '점토 채굴장'/'수풀' 행동 칸에 놓을 수 있습니다. 그렇게 한다면, 즉시 다음 가족 구성원을 놓을 수 있습니다</t>
  </si>
  <si>
    <t>밭 관리인</t>
  </si>
  <si>
    <t>- 이 카드를 내려놓으면, 즉시 흙 0/1/3개를 곡식 1/2/3개로 바꿀 수 있습니다. 이 카드는 밭으로 취급하며 쓸 수 있습니다</t>
  </si>
  <si>
    <t>밧줄 제작자</t>
  </si>
  <si>
    <t>- 수확 단계가 끝날 때마다, 공동 창고에서 갈대 1개를 가져옵니다</t>
  </si>
  <si>
    <t>배식하는 사람</t>
  </si>
  <si>
    <t>- 이 카드를 내려놓을 때, 즉시 곡식 1개를 가져오고, 이번 집에 돌아오기 단계가 시작할 때, 가족 구성원이 놓여있는 (누구의 가족이든 상관없이) 행동 칸 카드의 수만큼 음식을 가져옵니다</t>
  </si>
  <si>
    <t>방목 농부</t>
  </si>
  <si>
    <t>- 이 카드를 내려놓을 때, 개인 창고에 외양간이 적어도 3개 있다면, 이 외양간 3개를 게임으로부터 제거하고, 2칸을 차지하도록 우리를 짓습니다. 이때 울타리 비용으로 나무 2개만 냅니다</t>
  </si>
  <si>
    <t>나무/울타리치기</t>
  </si>
  <si>
    <t>방목하는 사람</t>
  </si>
  <si>
    <t>- 점수를 계산할때, 농장 3칸 이상을 차지하는 우리 1개마다 추가점수 2점을 받습니다</t>
  </si>
  <si>
    <t>벌목꾼</t>
  </si>
  <si>
    <t>- 즉시 나무 1개를 가져옵니다. 그리고 쳐져 있는 울타리 개수만큼의 다음 라운드 칸에 나무 1개씩을 놓습니다. 해당 라운드가 시작될 때마다 이 나무를 가져옵니다</t>
  </si>
  <si>
    <t>바구니 제작자의 아내</t>
  </si>
  <si>
    <t>- 이 카드를 내려놓으면 즉시 갈대 1개와 음식 1개를 가져옵니다. 아무 때나, 갈대 1개를 음식 2개로 바꿀 수 있습니다</t>
  </si>
  <si>
    <t>시골뜨기</t>
  </si>
  <si>
    <t>- 흙집 방을 만들 때마다, 음식 2개를 가져오고 추가점수 1점을 받습니다. (돌집 방을 만들 때나 나무집을 고칠 때는 적용되지 않습니다)</t>
  </si>
  <si>
    <t>스케일이 큰 농부</t>
  </si>
  <si>
    <t>- 차례마다 한 번 '농장 확장'이나 '주요 설비' 행동 칸을 이용한 후에, 둘 중 이용하지 않은 행동 칸이 비어있다면, 음식 1개를 내고 지금 놓은 가족 구성원을 그 행동 칸으로 옮겨 이용할 수 있습니다</t>
  </si>
  <si>
    <t>- 매 라운드 집에 돌아오기 단계가 시작될 때마다, '날품팔이'와 '곡식 종자' 행동 칸에 모두 누군가의 가족 말이 놓여 있다면, 채소 1개를 가져옵니다</t>
  </si>
  <si>
    <t>선술집 주인</t>
  </si>
  <si>
    <t>- 이 카드를 내려놓을 때 곡식 1개를 가져옵니다. 일하기 단계가 끝날 때마다, '숲', '흙 채굴장', '갈대밭' 누적 칸에 모두 가족 구성원 (누구의 가족이든 상관없이)이 놓여있다면 곡식 1개를 가져옵니다</t>
  </si>
  <si>
    <t>삽 쓰는 사람</t>
  </si>
  <si>
    <t>- '흙 채굴장'이나 '점토 채굴장' 누적 행동 칸 중 한 곳을 이용할 때마다, 나머지 누적 행동 칸에 놓인 흙 1개당 음식 1개를 추가로 가져옵니다</t>
  </si>
  <si>
    <t>석탄 광부</t>
  </si>
  <si>
    <t>- '흙 채굴장'이나 '점토 채굴장' 누적 칸을 이용한 후에, 나무 1개를 가져 옵니다. '흙 채굴장'을 이용했다면 갈대 1개를 추가로 가져옵니다</t>
  </si>
  <si>
    <t>울타리치기</t>
  </si>
  <si>
    <t>물꾼</t>
  </si>
  <si>
    <t>애완동물 중개업자</t>
  </si>
  <si>
    <t>9월 10일</t>
  </si>
  <si>
    <r>
      <t>작살꾼/목수/애완동물 중개업자/</t>
    </r>
    <r>
      <rPr>
        <sz val="11"/>
        <color theme="1"/>
        <rFont val="맑은 고딕"/>
      </rPr>
      <t>흙 나르는 인부/양 지킴이</t>
    </r>
  </si>
  <si>
    <t>말이 끄는 보트/Hook Knife</t>
  </si>
  <si>
    <t>양 파수꾼</t>
  </si>
  <si>
    <t>- 양을 7마리보다 적게 키우고 있을 때만 이 카드를 내려놓을 수 있습니다. 게임 중 한 번, 농장에 양 7마리를 키우게 되면 즉시 추가점수 3점을 받고 음식 2개를 가져옵니다</t>
  </si>
  <si>
    <t>애완동물 중개인</t>
  </si>
  <si>
    <t>- 이 카드를 내려놓으면, 즉시 양 1마리를 가져옵니다. 당신 앞에 놓여있는 직업 카드 위에서 각각 양 1마리씩을 키울 수 있습니다</t>
  </si>
  <si>
    <t>의장</t>
  </si>
  <si>
    <t>갈대 지붕 고치는 사람</t>
  </si>
  <si>
    <t>외양간 짓기 명수</t>
  </si>
  <si>
    <t>흙 나르는 인부</t>
  </si>
  <si>
    <t>소매업자</t>
  </si>
  <si>
    <t>말이 끄는 보트</t>
  </si>
  <si>
    <t>Hook Knife</t>
  </si>
  <si>
    <t>이중날 쟁기</t>
  </si>
  <si>
    <t>수확 창고</t>
  </si>
  <si>
    <t>도리깨</t>
  </si>
  <si>
    <t>병아리 외양간</t>
  </si>
  <si>
    <t>공략 좀 읽어야겠는데요...?</t>
  </si>
  <si>
    <t>갈대 2개</t>
  </si>
  <si>
    <t>돌가마</t>
  </si>
  <si>
    <t>가계부 관리인</t>
  </si>
  <si>
    <t>집 관리인</t>
  </si>
  <si>
    <t>수레 미는 사람</t>
  </si>
  <si>
    <t>병</t>
  </si>
  <si>
    <t>숲 속 호수 오두막</t>
  </si>
  <si>
    <t>9월 11일</t>
  </si>
  <si>
    <t>나무꾼/수레 미는 사람</t>
  </si>
  <si>
    <t>- 새로 일구는 밭 타일 1개마다, 흙 1개와 음식 1개를 추가로 가져옵니다</t>
  </si>
  <si>
    <t>숲 속 호수 오두막/새로운 상점가/양날쟁기/밭 울타리</t>
  </si>
  <si>
    <t>소의 왕자</t>
  </si>
  <si>
    <t>숲 일꾼</t>
  </si>
  <si>
    <t>양날 쟁기</t>
  </si>
  <si>
    <t>밭 울타리</t>
  </si>
  <si>
    <t>철물점</t>
  </si>
  <si>
    <t>투척용 도끼</t>
  </si>
  <si>
    <t>집 모양 등불</t>
  </si>
  <si>
    <t>송어 연못</t>
  </si>
  <si>
    <t>책상</t>
  </si>
  <si>
    <t>농장 상점</t>
  </si>
  <si>
    <t>사육장 울타리</t>
  </si>
  <si>
    <t>4점</t>
  </si>
  <si>
    <t>3점</t>
  </si>
  <si>
    <t>- 나무 누적 행동 칸을 이용할 때마다, 밭 딱 1개에만 추가로 '씨뿌리기'행동을 할 수 있습니다</t>
  </si>
  <si>
    <t>셋방 사는 사람</t>
  </si>
  <si>
    <t>- 이 카드는 9라운드의 집에 돌아오기 단계까지 가족 말 1개를 위한 방을 제공합니다. 그때까지 이 가족말을 위한 별도의 방이 없다면, 이 가족말을 게임에서 제거합니다</t>
  </si>
  <si>
    <t>산양 지킴이</t>
  </si>
  <si>
    <t>- 아무 플레이어(이 카드를 낸 플레이어 포함)나 '돼지 시장'누적 칸을 이용할 때마다, 당신은 공동 창고에서 양 1마리를 가져옵니다</t>
  </si>
  <si>
    <t>생활서 대가</t>
  </si>
  <si>
    <t>- 이 카드를 내려놓은 후에, 13/12/11이나 그 이전 라운드에 돌집으로 집을 고치면, 즉시 음식 1/2/3개를 가져오고 추가점수 1/2/3점을 받습니다</t>
  </si>
  <si>
    <t>쌍둥이 조사원</t>
  </si>
  <si>
    <t>- 같은 종류의 물건이 정확히 같은 개수가 놓여있는 두 개의 누적 칸 중 하나를 이용할 때마다 한 번씩, 음식 1개를 내고 추가점수 1점을 구매할 수 있습니다</t>
  </si>
  <si>
    <t>상자 만드는 사람</t>
  </si>
  <si>
    <t xml:space="preserve">갈돌음 테크 테스트 완료. 효과적임
</t>
  </si>
  <si>
    <t>(솔로 테스트 2시간+140개 직업분석)</t>
  </si>
  <si>
    <t>- 이 카드를 내려놓을 때, 다음 물건들 중 개인 창고에 적어도 2개 이상 가지고 있는 물건들을 각각 1개씩 가져옵니다: 음식, 곡식, 채소, 갈대, 나무</t>
  </si>
  <si>
    <t>사제</t>
  </si>
  <si>
    <t>- 이 카드를 내려놓을 때, 방이 2개뿐인 흙집에 살고 있다면, 즉시 흙 3개와 갈대 2개, 돌 2개를 가져옵니다</t>
  </si>
  <si>
    <t>상인</t>
  </si>
  <si>
    <t>- '주요 설비 짓기 또는 보조 설비 내리기'나 보조 설비 내리기' 행동을 한 후에 즉시, 음식 1개를 내고 같은 행동을 한 번 더 할 수 있습니다</t>
  </si>
  <si>
    <t>설립자</t>
  </si>
  <si>
    <t>- 당신의 집에 방이 정확히 2개가 있다면, 즉시 건축 자원을 내지 않고 무료로 집을 고칩니다. 그렇게 한다면, 바로 이어서 '울타리 치기' 행동을 할 수 있습니다</t>
  </si>
  <si>
    <t>수석 노동자</t>
  </si>
  <si>
    <t>- 1/2/3/4라운드 칸에 놓인 행동 칸을 이용할 때마다, 그 직전에 나무/흙/갈대/돌 1개를 가져옵니다</t>
  </si>
  <si>
    <t>사업 스승</t>
  </si>
  <si>
    <t>- '교습' 행동 칸을 이용할 때마다 그 후에, 다음 물건들을 서로 다른 종류로 2개까지 구매할 수 있습니다: 곡식, 돌, 양, 멧돼지는 각각 비용으로 음식 1개씩을, 소, 채소는 각각 비용으로 음식 2개씩을 냅니다</t>
  </si>
  <si>
    <t>숙달된 벽돌공</t>
  </si>
  <si>
    <t>- 이 카드를 내려놓으면 즉시 돌 2개를 가져옵니다. 다른 플레이어가 돌집으로 집을 고치거나 돌 집방을 만들때마다, 당신은 돌 1개를 가져옵니다</t>
  </si>
  <si>
    <t>숲 상인</t>
  </si>
  <si>
    <t>- 나무 누적 칸이나 흙 누적 칸을 이용할 때마다 한 번씩, 건축 자원 1개를 구매할 수 있습니다. 나무, 흙, 갈대는 음식 1개를 내고, 돌은 음식 2개를 냅니다</t>
  </si>
  <si>
    <t>식자재 상인</t>
  </si>
  <si>
    <t>- 밭에서 수확하는 곡식 1개마다, 음식 3개로 채소 1개씩을 구매할 수 있습니다. 이때 밭에서 마지막으로 수확한 곡식에 대해서는 음식을 2개씩만 내면 됩니다</t>
  </si>
  <si>
    <t>술집 주인</t>
  </si>
  <si>
    <t>- 다른 플레이어가 '조건 없는 씨 뿌리기' 행동을 할 때마다, 그 직전에 그 플레이어에게 곡식 1개를 주고 추가 점수 1점을 받을 수 있습니다</t>
  </si>
  <si>
    <t>그릇 제작소</t>
  </si>
  <si>
    <t>(솔로 테스트 2시간(60개)+140개 직업분석+공략 2개(20개)</t>
  </si>
  <si>
    <t>닭장</t>
  </si>
  <si>
    <t>숲 주인</t>
  </si>
  <si>
    <t>슈납스 증류기</t>
  </si>
  <si>
    <t>9월 12일</t>
  </si>
  <si>
    <t>목표를 좀 세우고 그에 집중했으면 게임 이겼을듯. 
돌집 만들고 하인 나오는 순간 겜끝나는 거였는데..</t>
  </si>
  <si>
    <t>숲 주인/밭일 감독</t>
  </si>
  <si>
    <t>닭장/손쟁기/슈납스 증류기</t>
  </si>
  <si>
    <t>- 이 카드는 모든 플레이어가 이용할 수 있는 행동 칸입니다. 다른 플레이어가 이 칸을 이용하면 나무 3개를 가져가고, 당신은 공동 창고에서 나무 1개를 가져옵니다. 당신이 이 칸을 이용하면 나무 4개를 가져옵니다</t>
  </si>
  <si>
    <t>교외 관리인</t>
  </si>
  <si>
    <t>큰낫 일꾼</t>
  </si>
  <si>
    <t>꼬마 소작농</t>
  </si>
  <si>
    <t>갱부</t>
  </si>
  <si>
    <t>잡화상인</t>
  </si>
  <si>
    <t>양의 우물</t>
  </si>
  <si>
    <t>등급점수</t>
  </si>
  <si>
    <t>40점</t>
  </si>
  <si>
    <t>30점</t>
  </si>
  <si>
    <t>50점</t>
  </si>
  <si>
    <t>목 표</t>
  </si>
  <si>
    <t>55점</t>
  </si>
  <si>
    <t>60점</t>
  </si>
  <si>
    <t>추가방</t>
  </si>
  <si>
    <t>추가사람</t>
  </si>
  <si>
    <t>나무밭</t>
  </si>
  <si>
    <t>9월 13일</t>
  </si>
  <si>
    <t>개인 숲</t>
  </si>
  <si>
    <t>상추밭/네덜란드식 풍차</t>
  </si>
  <si>
    <r>
      <t>지질학자/종 주조사/</t>
    </r>
    <r>
      <rPr>
        <sz val="11"/>
        <color theme="1"/>
        <rFont val="맑은 고딕"/>
      </rPr>
      <t>나무 오두막 늘리는 사람/양 보행자</t>
    </r>
  </si>
  <si>
    <t>- '숲'이나 '갈대밭' 누적 칸을 이용하면, 흙 1개를 가져옵니다. 3명 이상이 게임을 하고 있다면 '흙 채굴장'에도 이를 적용합니다</t>
  </si>
  <si>
    <t>양 보행자</t>
  </si>
  <si>
    <t>학자</t>
  </si>
  <si>
    <t>축산업자</t>
  </si>
  <si>
    <t>겨울 관리인</t>
  </si>
  <si>
    <t>나무 모으는 사람</t>
  </si>
  <si>
    <t>거래자</t>
  </si>
  <si>
    <t>트러플 슬라이서</t>
  </si>
  <si>
    <t>흙 공급</t>
  </si>
  <si>
    <t>베틀</t>
  </si>
  <si>
    <t>목재소</t>
  </si>
  <si>
    <t>제지업자</t>
  </si>
  <si>
    <t>- 제지업자를 내려놓은 이후에 직업 카드를 내려놓으려 할 때마다, 그 직전에 나무 1개를 내고 지금까지 내려놓은 직업 카드 1장당 음식 1개씩을 가져갈 수 있습니다</t>
  </si>
  <si>
    <t>가구상</t>
  </si>
  <si>
    <t>흙집 건축업자</t>
  </si>
  <si>
    <t>- 더 이상 나무집에서 살지 않으면, 다음 라운드 칸 5개에 흙 2개씩을 놓습니다. 해당 라운드가 시작될 때마다 이 흙을 가져옵니다</t>
  </si>
  <si>
    <t>자원 재활용업자</t>
  </si>
  <si>
    <t>가축 전문가</t>
  </si>
  <si>
    <t>폐품 창고</t>
  </si>
  <si>
    <t>황새 둥지</t>
  </si>
  <si>
    <t>짚지붕</t>
  </si>
  <si>
    <t>도기</t>
  </si>
  <si>
    <t>개울</t>
  </si>
  <si>
    <t>타작판</t>
  </si>
  <si>
    <t>사료</t>
  </si>
  <si>
    <t>소형 온실</t>
  </si>
  <si>
    <t>9월 15일</t>
  </si>
  <si>
    <r>
      <t>흙 빚는 사람/</t>
    </r>
    <r>
      <rPr>
        <b/>
        <sz val="11"/>
        <color theme="1"/>
        <rFont val="맑은 고딕"/>
      </rPr>
      <t>벽 건축가/흙집 건축업자/</t>
    </r>
    <r>
      <rPr>
        <sz val="11"/>
        <color theme="1"/>
        <rFont val="맑은 고딕"/>
      </rPr>
      <t>석공/쟁기 몰이꾼</t>
    </r>
  </si>
  <si>
    <r>
      <t>나무밭/</t>
    </r>
    <r>
      <rPr>
        <b/>
        <sz val="11"/>
        <color theme="1"/>
        <rFont val="맑은 고딕"/>
      </rPr>
      <t>흙집 골조</t>
    </r>
    <r>
      <rPr>
        <sz val="11"/>
        <color theme="1"/>
        <rFont val="맑은 고딕"/>
      </rPr>
      <t>/증기 기계</t>
    </r>
  </si>
  <si>
    <t>쟁기 몰이꾼</t>
  </si>
  <si>
    <t>- 돌집에 살고 있다면, 매 라운드가 시작될 때, 음식 1개를 내고 밭 1개를 일굴 수 있습니다</t>
  </si>
  <si>
    <t>경작자</t>
  </si>
  <si>
    <t>인형술사</t>
  </si>
  <si>
    <t>씨앗 상인</t>
  </si>
  <si>
    <t>미장이</t>
  </si>
  <si>
    <t>젖짜기 의자</t>
  </si>
  <si>
    <t>나무 수레</t>
  </si>
  <si>
    <t>삼포식 농법</t>
  </si>
  <si>
    <t>방목장</t>
  </si>
  <si>
    <t>올가미 밧줄</t>
  </si>
  <si>
    <t>삼림 과학자</t>
  </si>
  <si>
    <t>- 매 라운드의 집에 돌아오기 단계마다 게임 진행판에 나무가 남아있지 않다면, 음식 1개를 가져옵니다. 5라운드부터는 음식 2개를 가져옵니다</t>
  </si>
  <si>
    <t>숲 운동가</t>
  </si>
  <si>
    <t>- 가족 구성원을 놓기 직전에, 누적 칸들의 나무가 모두 합쳐서 8개 이상이 있다면 음식 1개를 가져옵니다</t>
  </si>
  <si>
    <t>수공예 교사</t>
  </si>
  <si>
    <t>- 주요 설비 '가구 제작소'나 '그릇 제작소' 혹은 '바구니 제작소'를 지을 때마다, 그 직후에 비용을 내지 않고 직업을 2장까지 내려놓을 수 있습니다</t>
  </si>
  <si>
    <t>숙련 벽돌공</t>
  </si>
  <si>
    <t>- 주요 설비를 지을 때마다 초기 집에 추가로 지은 방의 수만큼 돌을 적게 냅니다</t>
  </si>
  <si>
    <t>석재 수입상</t>
  </si>
  <si>
    <t>송로버섯 채취꾼</t>
  </si>
  <si>
    <t>- 1/2/3/4/5/6번째 수확의 번식 단계에서 한 번씩, 이 카드를 이용해 음식 2/2/3/3/4/1개를 내고 돌 2개를 구매할 수 있습니다</t>
  </si>
  <si>
    <t>- 이 카드 위에서, 완료한 가족 먹여 살리기 단계의 수와 같은 수의 멧돼지를 키울 수 있습니다</t>
  </si>
  <si>
    <t>- 게임 인원이 1/2/3/4명일 때, 이 카드를 내려놓으면 즉시 곡식 2개/흙 3개/갈대 2개/양 2마리를 가져옵니다 (4인 기준 계산)</t>
  </si>
  <si>
    <t>순종 사육사</t>
  </si>
  <si>
    <t>- 즉시 나무 1개를 가져옵니다. 수확을 하지 않는 라운드가 끝날 때마다, 정확히 한 종류의 가축을 번식 시킬 수 있습니다 (이것은 수확의 번식 단계로 간주하지 않습니다)</t>
  </si>
  <si>
    <t>신입생</t>
  </si>
  <si>
    <t>- 아무 차례 때나 수확 때에 '빵 굽기' 행동을 얻을 때마다 딱 한 번씩, 얻읃 '빵 굽기'행동을 하지 않고 그 대신에 직업 1장을 비용 없이 내려놓을 수 있습니다</t>
  </si>
  <si>
    <t>씨 뿌리는 사람</t>
  </si>
  <si>
    <t>- 주요 설비를 지을 때마다, 공동 창고에서 갈대 1개를 가져와서 이 카드 위에 놓습니다. 아무 때나, 이 카드 위에 있는 갈대를 개인 창고로 가져오거나, 이 갈대 1개를 내고 '씨 뿌리기' 행동을 할 수 있습니다</t>
  </si>
  <si>
    <t>산파</t>
  </si>
  <si>
    <t>- 다른 플레이어가 첫 번째 가족 구성원을 놓아서 '가족 늘리기' 행동을 할 때마다, 당신은 공동 창고에서 곡식 1개를 가져옵니다</t>
  </si>
  <si>
    <t>수다쟁이</t>
  </si>
  <si>
    <t>- 누적 칸에서 건축 자원을 4개 이상 가져오거나, 가축을 4마리 이상 가져올 때마다, 음식 1개를 추가로 가져옵니다</t>
  </si>
  <si>
    <t>씨 뿌리기 명인</t>
  </si>
  <si>
    <t>- 이 카드를 내려놓으면 즉시 나무 1개를 가져옵니다. '씨 뿌리기' 행동이 있는 행동 칸을 이용한 후에, 음식 2개를 가져옵니다</t>
  </si>
  <si>
    <t>초/중반</t>
  </si>
  <si>
    <t>- 곡식 3개와 음식 3개를 이 카드 위에 놓습니다. '자원 시장' 행동 칸을 이용할 때마다, 곡식 1개와 음식 1개를 이 카드 위에서 추가로 가져옵니다</t>
  </si>
  <si>
    <t>소 사육사</t>
  </si>
  <si>
    <t>사냥감 공급자</t>
  </si>
  <si>
    <t>- 수확 단계가 시작될 때마다, 그 직전에 음식을 내고 소를 1마리 구입할 수 있습니다. 소의 가격은 '4에서 내 농장의 우리 개수를 뺀 값'입니다. 최소 가격은 음식 0개입니다 (소 2~4주기 번식 이득 포함)</t>
  </si>
  <si>
    <t>- 아무 플레이어(이 카드를 낸 플레이어 포함)가 빵굽기 설비를 내려놓거나 지을 때마다, 당신은 나무 1개와 음식 1개를 가져옵니다</t>
  </si>
  <si>
    <t>삼림 수호자</t>
  </si>
  <si>
    <t>- 이 카드를 내려놓으면, 즉시 나무 2개를 가져옵니다. 다른 플레이어가 누적 칸에서 5개 이상의 나무를 가져가려면, 당신에게 음식 1개를 먼저 주어야 합니다</t>
  </si>
  <si>
    <t>산림 개간하는 사람</t>
  </si>
  <si>
    <t>- 나무 누적 칸에서 나무를 정확히 2/3/4개 가져올 때마다, 나무 1개와 음식 1/0/1개를 추가로 가져옵니다</t>
  </si>
  <si>
    <t>- 자원 누적 행동 칸에서 나무를 가져올 때마다 1번씩, 나무 1개를 양 1마리로 바꿀 수 있습니다. 비용으로 지불한 나무는 해당하는 자원 누적 행동 칸에 돌려놓습니다</t>
  </si>
  <si>
    <t>- 점수를 계산할 때, 적어도 1마리의 소를 키우고 있는 농장 칸마다(방도 포함) 추가점수 1점씩을 받습니다</t>
  </si>
  <si>
    <t>소규모 관리인</t>
  </si>
  <si>
    <t>- 자원 누적 행동 칸을 이용할 때마다, 그와 같은 종류의 자원 누적 행동 칸이 이미 이용된 뒤라면, 채소 1개를 추가로 가져옵니다</t>
  </si>
  <si>
    <t>숲 평론가</t>
  </si>
  <si>
    <t xml:space="preserve">- 아무 플레이어(이 카드를 낸 플레이어 포함)나 비어있는 '수풀'/'숲' 누적 칸을 이용할 때마다 그 직후에 '숲'/'수풀' 행동 칸이 이미 사용 중이라면, 당신은 갈대 1개를 가져옵니다 </t>
  </si>
  <si>
    <t>사유지 주인</t>
  </si>
  <si>
    <t>- 게임 중 한 번이라도 농장에 더 이상 빈칸이 없게 되면, 그 이후 수확하는 각각의 채소 1개당 추가점수 1점씩을 받습니다</t>
  </si>
  <si>
    <t>산울타리지기</t>
  </si>
  <si>
    <t>- '울타리 치기' 행동을 할 때, 울타리 3개는 나무를 내지 않고 칠 수 있습니다</t>
  </si>
  <si>
    <t>- 방이 2개인 집에서 살고 있다면, 라운드가 시작될 때마다 나무 1개를 가져옵니다</t>
  </si>
  <si>
    <t>소상인</t>
  </si>
  <si>
    <t>- '주요 설비나 보조 설비' 행동으로 자신의 손에 있던 설비를 내려놓을때마다, 음식 3개를 추가로 가져옵니다</t>
  </si>
  <si>
    <t>사유지 일꾼</t>
  </si>
  <si>
    <t>- 다음 라운드 칸 4개에 나무 1개, 흙 1개, 갈대 1개, 돌 1개를 순서대로 놓습니다. 해당 라운드가 시작될 때마다 해당되는 건축 자원을 가져옵니다</t>
  </si>
  <si>
    <t>이단 전도사</t>
  </si>
  <si>
    <t>- '교습' 행동 칸을 이용할 때마다, 곡식이 3개 이상 놓여있지만 채소는 없는 밭 1개마다 채소를 1개씩 가져옵니다. 이렇게 가져온 채소는 곡식 아래에 둡니다</t>
  </si>
  <si>
    <t>앵무새 사육사</t>
  </si>
  <si>
    <t>- 당신의 차례에 곡식 1개를 내면, 오른쪽 플레이어가 마지막으로 이용했던 행동 칸을 이용할 수 있습니다. 이런 식으로 '회합 장소' 행동 칸을 이용할 수는 없습니다</t>
  </si>
  <si>
    <t>음악가</t>
  </si>
  <si>
    <t>- 매 라운드 집에 돌아오기 단계가 시작될 때마다, 1~4라운드 칸 중 딱 한 칸만 비어있다면, 그 라운드 칸의 효과를 이용할 수 있습니다</t>
  </si>
  <si>
    <t>우리 명인</t>
  </si>
  <si>
    <t>- 집을 고칠 때마다, 음식 2개와, 외양간이 있는 우리마다 그 우리에서 키우고 있는 종류의 가축 1마리씩을 공동 창고에서 가져옵니다</t>
  </si>
  <si>
    <t>애완동물 기르는 사람</t>
  </si>
  <si>
    <t>- 가축 누적 칸을 이용한 후에, 집에서 키우고 있는 가축이 없다면, 양 1마리를 추가로 가져옵니다</t>
  </si>
  <si>
    <t>안쪽 구역 관리자</t>
  </si>
  <si>
    <t>- '숲' / '흙 채굴장' 누적 칸을 이용할 때마다, 공동 창고에서 돌 1개를 가져와 '흙 채굴장/숲' 행동 칸에 놓을 수 있습니다. 그렇게 한다면, 즉시 다음 가족 구성원을 놓을 수 있습니다</t>
  </si>
  <si>
    <t>어지럽히는 사람</t>
  </si>
  <si>
    <t>- 점수를 계산할 때, 이 카드 이후에 당신이 내려놓은 '누적 (행동) 칸'이라는 문구가 있는 카드 1장당 추가점수 1점씩을 받습니다</t>
  </si>
  <si>
    <t>양부모</t>
  </si>
  <si>
    <t>- 음식 1개를 내고 새로 생긴 자식을 해당 라운드에 바로 행동시킬 수 있습니다. 이 경우 이 자식은 '신생아'로 보지 않습니다</t>
  </si>
  <si>
    <t>외양간 착유자</t>
  </si>
  <si>
    <t>양 감독관</t>
  </si>
  <si>
    <t>- 일하기 단계에서 한 번씩, 가족 구성원을 놓아 행동한 후, 양 1마리와 음식 2개를 내고, 당신이 이전에 놓았던 다른 가족 구성원 하나를 집으로 되돌릴 수 있습니다</t>
  </si>
  <si>
    <t xml:space="preserve">본인 </t>
  </si>
  <si>
    <t>아동 감찰관</t>
  </si>
  <si>
    <t>- 5라운드부터, 집에 빈 방이 있다면, 가족 구성원을 놓아 행동을 완료할 때마다 2점을 감점 받고 해당 가족 구성원으로 '가족 늘리기' 행동을 할 수 있습니다. (해당 가족 구성원이 있는 칸에 신생아를 놓습니다)</t>
  </si>
  <si>
    <t>은신처 건축가</t>
  </si>
  <si>
    <t>- 게임 중 한 번, 흙집이나 돌집에 살고 있을 때 곡식 1개와 음식 2개를 낼 수 있습니다. 그렇게 한다면, 남은 게임 동안 이 카드는 가족 구성원 1명을 위한 방을 제공합니다</t>
  </si>
  <si>
    <t>흙집/돌집</t>
  </si>
  <si>
    <t>이동 경작자</t>
  </si>
  <si>
    <t>- 나무 누적 행동 칸을 이용할 때마다. 음식 3개를 추가로 내고 밭 1개를 일굴 수 있습니다.</t>
  </si>
  <si>
    <t>야간 근무</t>
  </si>
  <si>
    <t>- 매 일하기 단계를 시작하기 전에, 개인 창고에 없는 종류의 건축 자원 누적 칸에 가족 구성원 1명을 놓을 수 있습니다. (그러고 나서 시작 플레이어부터 차례대로 진행합니다)</t>
  </si>
  <si>
    <t>외양간 설계사</t>
  </si>
  <si>
    <t>- 현재 라운드에 3, 6, 9를 더한 라운드 칸에 외양간 1개씩을 놓을 수 있습니다. 각 칸마다 놓을지 말지 따로 결정합니다. 해당 라운드가 시작될 때마다, 이 외양간을 비용을 내지 않고 지을 수 있습니다. 해당 라운드가 되기 전에는 사용할 수 없습니다</t>
  </si>
  <si>
    <t>- 다른 플레이어가 '유랑극단' 누적 칸을 이용할 때마다, 그 플레이어에게 음식 1개를 주고 직업 비용 없이 직업 1개를 놓을 수 있습니다</t>
  </si>
  <si>
    <t>약골</t>
  </si>
  <si>
    <t>유기 농부</t>
  </si>
  <si>
    <t>원예 우두머리</t>
  </si>
  <si>
    <t>- 이 카드를 내려놓을 때, 3/6/9번의 라운드가 남았다면, 나무 2/3/4개를 가져옵니다. 점수를 계산할 때, 밭에 심어진 채소가 가장 많은 플레이어 모두가 추가점수 2점씩을 받습니다</t>
  </si>
  <si>
    <t>임시 노동자</t>
  </si>
  <si>
    <t>- 다른 플레이어가 '채석장(동부/서부)' 누적 칸을 이용할 때마다, 당신은 음식 1개를 가져오거나, 나무를 내지 않고 외양간 1개를 지을 수 있습니다</t>
  </si>
  <si>
    <t>양배추 구매자</t>
  </si>
  <si>
    <t>- 누구나 (이 카드를 낸 플레이어 포함) 집을 고치고 나서, 추가로 설비를 짓지 않으면/보조 설비 1개를 내려놓으면/주요 설비 1개를 지으면, 당신은 음식 3/2/1개를 내고 채소 1개를 구매할 수 있습니다</t>
  </si>
  <si>
    <t>양 중개상</t>
  </si>
  <si>
    <t>- 이미 위에 가축을 키울 수 있는 카드를 제외하고, (이 카드를 포함해서) 자기 앞에 놓여있는 직업 카드 위에서 양 1마리씩을 키울 수 있습니다</t>
  </si>
  <si>
    <t>운하 뱃사공</t>
  </si>
  <si>
    <t>어린 농부</t>
  </si>
  <si>
    <t>- '주요 설비' 행동 칸을 이용할 때마다, 곡식 1개를 가져옵니다. 그러고 나서 '씨 뿌리기' 행동을 할 수 있습니다</t>
  </si>
  <si>
    <t>외양간 일꾼</t>
  </si>
  <si>
    <t>- 울타리를 1개 이상 칠 때마다, 나무를 내지 않고 외양간 1개를 지을 수 있습니다.</t>
  </si>
  <si>
    <t>양식장 어부</t>
  </si>
  <si>
    <t>- '낚시' 누적 칸에 음식이 1/2/3개 이상 있는 동안, '갈대밭'/'흙 채굴장'/'숲' 누적 칸을 이용할 때마다, 음식 2개를 추가로 가져옵니다</t>
  </si>
  <si>
    <t>외양간 견본 제작자</t>
  </si>
  <si>
    <t>- 집에 돌아오기 단계를 시작할 때마다, 이미 지어진 외양간 1개를 개인 창고로 되돌릴 수 있습니다. 그렇게 한다면, 나무 1개, 곡식 1개, 음식 1개를 가져오고 '보조 설비 내리기' 행동을 합니다</t>
  </si>
  <si>
    <t>- 아무 플레이어 (이 카드를 낸 플레이어 포함)나 '양 시장' 누적 칸을 이용 할 때마다, 당신은 곡식 1개를 가져옵니다</t>
  </si>
  <si>
    <t>어부의 친구</t>
  </si>
  <si>
    <t>외양간 청소부</t>
  </si>
  <si>
    <t>외양간 건축가</t>
  </si>
  <si>
    <t>- 점수를 계산할 때, 울타리 치지 않은 외양간마다 추가점수 1점씩을 받습니다.</t>
  </si>
  <si>
    <t>위스키 제조업자</t>
  </si>
  <si>
    <t>- 아무 때나, 곡식 1개를 낼 수 있습니다. 그렇게 한다면, 현재 라운드에 2를 더한 라운드 칸에 음식 4개를 놓습니다. 해당 라운드가 시작될 때 이 음식을 가져옵니다</t>
  </si>
  <si>
    <t>언론 대변인</t>
  </si>
  <si>
    <t xml:space="preserve">- '유랑극단' 누적 칸을 이용한 후에 즉시, 사용하지 않은 다른 가족 구성원 1명을 원하는 행동 칸에 놓고 이용할 수 있습니다. 이미 가족 구성원이 놓여있는 행동 칸에도 놓을 수 있습니다 </t>
  </si>
  <si>
    <t>영주</t>
  </si>
  <si>
    <t>영양 전문가</t>
  </si>
  <si>
    <t>- 매 라운드가 시작될 때, 아무 종류의 가축 1마리와 곡식 1개, 채소 1개를 음식 5개와 추가점수 2점으로 교환할 수 있습니다</t>
  </si>
  <si>
    <t>요리 전문가</t>
  </si>
  <si>
    <t>- 다른 플레이어가 '유랑극단' 누적 행동 칸을 이용할 때마다, 곡식/양/채소 중 원하는 자원 1개를 음식 4/5/7개로 바꿀 수 있습니다</t>
  </si>
  <si>
    <t>- 현재 라운드에 2, 5, 8, 10을 더한 라운드 칸에 양 1마리씩을 놓습니다. 해당 라운드가 시작될 때마다 이 양을 가져 옵니다</t>
  </si>
  <si>
    <t>외양간 관리인</t>
  </si>
  <si>
    <t>- 이 카드를 내려놓을 때, 음식 2개를 내고 양 1마리, 멧돼지 1마리, 소 1마리를 가져올 수 있습니다. 단 이렇게 가져온 동물들을 모두 농장에 수용할 수 있어야 합니다</t>
  </si>
  <si>
    <t>초반/후반</t>
  </si>
  <si>
    <t>연인</t>
  </si>
  <si>
    <t>완벽한 소작농</t>
  </si>
  <si>
    <t>- 차례마다 한 번 '곡식 활용'이나 '울타리' 행동 칸을 이용한 후에 둘 중 이용하지 않은 행동 칸이 비어있다면, 음식 1개를 내고 지금 놓은 가족 구성원을 그 행동 칸으로 옮겨 이용할 수 있습니다</t>
  </si>
  <si>
    <t>야간 학교 학생</t>
  </si>
  <si>
    <t>유혹하는 사람</t>
  </si>
  <si>
    <t>정보원</t>
  </si>
  <si>
    <t>- 이 카드를 내려놓으면, 즉시 나무 1개를 가져옵니다. 일하기 단계가 끝날때마다, 개인 창고에 흙보다 돌이 더 많다면 나무 1개를 가져옵니다
※ 13라운드 효과 발동 기준으로 계산</t>
  </si>
  <si>
    <t>- '날품팔이' 이용 시, 비용 내고 방 1개 만들거나 집 고치기
※ 빠른 흙/돌집 테크의 이득 반영하여 이득 계산</t>
  </si>
  <si>
    <t>- '주요 설비' 행동 칸을 이용한 후에, 흙 2개나 돌 2개를 적게 내고 '집 고치기' 행동을 할 수 있습니다 
※ 빠른 흙/돌집 테크의 이득 반영하여 이득 계산</t>
  </si>
  <si>
    <t>- 일하기 단계의 당신의 차례마다, 5개 이상의 물건이 놓여 있는 누적 칸이 있고, 당신이 그 누적 칸들을 이용하지 않았다면, 채소 1개를 가져옵니다
※ 후반에 흙 같은 자원 쌓여서 채소 3개 받았다고 가정</t>
  </si>
  <si>
    <t>- 점수를 계산할 때, 가축이 1마리라도 들어 있는 우리 중 우리 안에 가축을 3마리 이상 더 키울 수 있는 우리 1개당 추가점수 1점씩을 받습니다
※ 3점 받았다는 가정 하에 계산</t>
  </si>
  <si>
    <t>- 매 라운드가 시작될 때 '낚시' 누적 칸 보다 '유랑극단' 누적 칸에 음식이 더 많다면, 두 누적 칸의 음식 개수 차이만큼 공동 창고에서 음식을 가져옵니다 
※ 음식 14개 받아온다고 가정</t>
  </si>
  <si>
    <t>- 이 카드를 내려놓을 때 즉시, 아직 시작하지 않은 라운드 수만큼의 음식을 내고 '빈 방이 없어도 가족 늘리기' 행동을 할 수 있습니다
※ 8라운드에 사용하는 기준으로 계산</t>
  </si>
  <si>
    <t>- 매 라운드 집에 돌아오기 단계마다, '교습' 행동 칸에서 그 누구의 가족 말도 돌아오지 않았다면, 음식 1개를 내고 직업 카드 1장을 내려놓을 수 있습니다
※  4번 이용했다고 가정</t>
  </si>
  <si>
    <t>- 5라운드 또는 그 이후에 이 카드를 내려놓았다면, 즉시 돌 1개, 곡식 1개, 채소 1개, 양 1개를 내고 '빈 방이 없어도 가족 늘리기' 행동을 할 수 있습니다
※  6라운드 사용 기준으로 계산</t>
  </si>
  <si>
    <t>최대가능
행동회수</t>
  </si>
  <si>
    <t>지역 감독관</t>
  </si>
  <si>
    <t>- 일하기 단계가 끝날 때마다, '숲'과 '수풀' 누적 칸을 모두 당신이 이용했다면, 음식 5개를 가져옵니다</t>
  </si>
  <si>
    <t>제작소 조수</t>
  </si>
  <si>
    <t>- 서로 다른 건축 자원 2개로 이루어진 서로 다른 조합들을 만들어 당신의 각 설비에 올려놓습니다. 다른 플레이어가 집을 고칠 때마다, 설비에 놓여있는 건축 자원 조합 1개를 골라 개인 창고로 가져옵니다</t>
  </si>
  <si>
    <t>준비된 사람</t>
  </si>
  <si>
    <t>- 나무 누적 칸을 이용한 후에, 즉시 보조 설비를 내려놓을 수 있습니다</t>
  </si>
  <si>
    <t>지붕 검수관</t>
  </si>
  <si>
    <t>- 이 카드를 내려놓을 때, 주요 설비를 1/2/3/4개 가지고 있다면, 즉시 갈대 2/3/4/5개를 가져옵니다
※ 주요 설비 3개 기준으로 계산함</t>
  </si>
  <si>
    <t>종자 연구원</t>
  </si>
  <si>
    <t>- 집에 돌아오기 단계에 '곡식 종자'와 '채소 종자' 행동 칸에서 돌아오는 가족 구성원(누구의 가족이든 상관없이) 둘 다 있다면, 음식 2개를 가져오고 직업 비용 없이 직업 1개를 놓을 수 있습니다</t>
  </si>
  <si>
    <t>절친</t>
  </si>
  <si>
    <t>- 개인 창고에서 음식을 가져와서 다음 라운드 칸 2개나 3개, 또는 4개에 1개씩 놓습니다. 해당 라운드가 시작될 때 이 음식을 가져오고 '씨 뿌리기'나 울타리 치기' 행동을 1번 할 수 있습니다</t>
  </si>
  <si>
    <t>- '농지'나 '곡식 종자', '곡식 활용', '밭 농사' 행동 칸을 이용하면, 그 차례가 끝날 때 나무 1개를 추가로 가져옵니다.</t>
  </si>
  <si>
    <t>지붕 다지는 사람</t>
  </si>
  <si>
    <t>- 이 카드를 내려놓으면 즉시 음식 1개를 내고 방 수만큼 돌 1개씩을 가져올 수 있습니다
※ 방 5개 기준으로 계산함</t>
  </si>
  <si>
    <t>정원 디자이너</t>
  </si>
  <si>
    <t>- 점수 계산을 시작할 때, 당신의 빈 밭에 음식을 놓을 수 있습니다. 이렇게 음식 1/4/7개를 놓은 받마다 추가점수 1/2/3점을 받습니다
※ 밭 5개 기준으로 계산함</t>
  </si>
  <si>
    <t>점토 채굴 관리자</t>
  </si>
  <si>
    <t>- 이 카드를 놓을 때, 즉시 '주요 설비' 행동을 얻습니다. 이 행동으로는 오직 '화로'만 지을 수 있습니다. '점토 채굴장' 누적 행동 칸을 이용할 때마다, 음식 1개를 추가로 가져옵니다</t>
  </si>
  <si>
    <t>자재 배달원</t>
  </si>
  <si>
    <t>- 아무 플레이어(이 카드를 낸 플레이어 포함)나 누적 칸에서 한 번에 물건을 5/6/7/8개 이상 가져갈 때마다, 당신은 공동 창고에서 나무/흙/갈대/돌 1개를 가져옵니다
※ 각각 1.5개 가져온다고 하고 계산</t>
  </si>
  <si>
    <t>조리 도구상</t>
  </si>
  <si>
    <t>- 점수를 계산할 때, (가마솥 마크) 설비마다 추가점수 1점을 받습니다.
※ 2개로 가정하고 계산</t>
  </si>
  <si>
    <t>저장고 관리인</t>
  </si>
  <si>
    <t>- 가장 최근의 수확이 있기 전에 마지막으로 공개된 행동 칸(4, 7, 9, 11, 13라운드의 행동 칸 카드 중 마지막으로 공개된 카드)을 이용할 때, 곡식 1개를 가져옵니다
※ 4개로 가정하고 계산</t>
  </si>
  <si>
    <t>자택 경비원</t>
  </si>
  <si>
    <t>- 우리와 밭에 동시에 인접한 흙방이나 돌방 딱 1개에 추가로 가족 1명을 더 수용할 수 있습니다.</t>
  </si>
  <si>
    <t>주사위 제작자</t>
  </si>
  <si>
    <t>- 이 카드를 내려놓을 때, 즉시 나무 1개를 가져옵니다. 매 수확의 농장 단계에서 한 번씩, 이 카드를 이용하여 나무 1개와 음식 1개를 추가점수 1점으로 바꿀 수 있습니다
※ 3번 이용한다는 가정</t>
  </si>
  <si>
    <t>- 흙집으로 고치는 과정 없이 나무집을 바로 돌집으로 고칠 수 있습니다.</t>
  </si>
  <si>
    <t>쟁기의 영웅</t>
  </si>
  <si>
    <t>- 매 라운드 당신이 처음으로 놓는 가족 구성원으로 '농지'나 '밭 농사' 행동 칸을 이용할 때마다, 음식 1개를 내고 밭 1개를 추가로 일굴 수 있습니다.</t>
  </si>
  <si>
    <t>조각가</t>
  </si>
  <si>
    <t>- 흙 누적 칸을 이용할 때, 음식 1개를 추가로 가져옵니다. 돌 누적 칸을 이용할 때, 곡식 1개를 추가로 가져옵니다.</t>
  </si>
  <si>
    <t>작업장 관리자</t>
  </si>
  <si>
    <t>- 이 카드를 내려놓을 때, 즉시 주요 설비 1개를 짓습니다. 이 주요 설비의 비용을 낼 때, 건축 자원을 종류마다 1개씩 음식으로 대신 낼 수 있습니다.</t>
  </si>
  <si>
    <t>자원 분석가</t>
  </si>
  <si>
    <t>- 매 라운드를 시작하기 전에, 다른 플레이어들보다 더 많이 갖고 있는 건축 자원이 적어도 2종류라면, 음식 1개를 가져옵니다
※ 음식 9개 받았다고 가정</t>
  </si>
  <si>
    <t>조직 창립자</t>
  </si>
  <si>
    <t>- 이 카드를 내려놓은 후에 딱 한 번, 다른 플레이어가 다섯 번째 가족 구성원을 얻으면, 당신은 즉시 음식 8개를 가져옵니다. 점수를 계산할 때, 당신만 가족 구성원이 5명이라면, 추가점수 3점을 받습니다
※ 두 보상의 평균값으로 계산</t>
  </si>
  <si>
    <t>장인정신 홍보대사</t>
  </si>
  <si>
    <t>- 이 카드를 내려놓으면 즉시 돌 1개를 가져옵니다. 앞으로 주요 설비판의 아랫줄에 있는 주요 설비를 '보조 설비 내리기' 행동으로 지을 수 있습니다
※ 주요 설비 3개를 보조설비 행동으로 짓는 기준으로 계산</t>
  </si>
  <si>
    <t>재건축 준비자</t>
  </si>
  <si>
    <t>제염업자</t>
  </si>
  <si>
    <t>집주인</t>
  </si>
  <si>
    <t>짝꿍</t>
  </si>
  <si>
    <t>작은 농부</t>
  </si>
  <si>
    <t>진흙탕에 빠진 사람</t>
  </si>
  <si>
    <t>작은 밭 돌보미</t>
  </si>
  <si>
    <t>- 나무집/흙집에 방을 만들 때마다, 새로 만든 방 1개당 흙/돌 2개씩을 가져옵니다
※ 나무방 2개, 흙방 1개 만든다는 기준으로 계산</t>
  </si>
  <si>
    <t>- 아무 때나, 농장에서 키우고 있는 양/멧돼지/소 1마리를 낼 수 있습니다(버리는 가축을 대신 낼 수 없습니다.) 그렇게 한다면, 다음 라운드 칸 3/5/7개에 음식 1개씩을 놓습니다. 해당 라운드가 시작될 때마다 이 음식을 가져옵니다.</t>
  </si>
  <si>
    <t>- 점수를 계산할 때, 주요 설비의 총 점수를 확인합니다. 이 때 가장 낮은 주요 설비 점수는 2배로 계산합니다. 합계가 5/7/9/11점 이상이면 추가점수 1/2/3/4점을 받습니다
※ 추가점수 3점으로 계산</t>
  </si>
  <si>
    <t>- 13라운드 행동 칸에 , 당신의 바로 왼쪽이나 오른쪽 플레이어의 가족 구성원이 놓여있더라도, 그 칸을 이용할 수 있습니다.</t>
  </si>
  <si>
    <t>- 즉시 돌 1개를 가져옵니다. 정확히 방이 2개인 나무집에 살고 있는 동안, '회합 장소'를 제외한 모든 행동 칸은 당신에게 비어있는 것으로 간주합니다.</t>
  </si>
  <si>
    <t>- 누적 칸을 이용할 때마다, 공동 창고에서 흙 1개를 가져와 이 카드 위에 놓습니다. 이 카드 위에 흙이 4개가 되면, 즉시 멧돼지로 바꿉니다. 이런 식으로 바꾼 멧돼지를 이 카드 위에서 키울 수 있습니다.</t>
  </si>
  <si>
    <t>- 다른 플레이어가 돌집으로 집을 고칠 때마다, 당신이 흙집에 살고 있다면, 음식 2개를 내고 비용 없이 흙집 방 1개를 만들 수 있습니다
※ 흙집 방 2개 만드는 기준으로 계산</t>
  </si>
  <si>
    <t>- 이 카드를 내려놓을 때, 음식 1개로 곡식 1개를 구매하거나, 음식 3개로 채소 1개를 구매할 수 있습니다. 이 카드는 밭으로 취급하며 쓸 수 있습니다</t>
  </si>
  <si>
    <t>침대 제작자</t>
  </si>
  <si>
    <t>- 방을 만들 때마다, 나무 1개와 곡식 1개를 추가로 내고 즉시 '빈 방이 있어야만 가족 늘리기' 행동을 1번할 수 있습니다
※ 가족 늘리기 2라 빨리 하는 기준으로 계산</t>
  </si>
  <si>
    <t>청과물 상인</t>
  </si>
  <si>
    <t>청소부</t>
  </si>
  <si>
    <t>- 가장 마지막으로 공개된 라운드 카드의 왼쪽에 있는 라운드 카드 행동을 이용하기 전에, 흙 2개를 가져옵니다</t>
  </si>
  <si>
    <t>책 읽어주는 사람</t>
  </si>
  <si>
    <t>- (이 카드를 포함해서) 당신 앞에 놓여있는 직업 카드가 6장 이상이 되면, 이 카드는 가족 구성원 1명을 위한 방을 제공합니다. 드래프트 선택 규칙을 사용 중이면, 직업 카드가 7장 이상이 되어야 합니다.
※ 7직업이 되어야 이득이 생김</t>
  </si>
  <si>
    <t>초벽질공</t>
  </si>
  <si>
    <t>- 흙집에 방을 1개 이상 만들거나 흙집을 돌집으로 고칠 때, 음식 3개를 가져옵니다</t>
  </si>
  <si>
    <t>발동 주체</t>
  </si>
  <si>
    <t>행동 1회당 이득
(일회성 직업은 교습)</t>
  </si>
  <si>
    <t>추가행동
손익분기점</t>
  </si>
  <si>
    <t>교습 1행동 손익
(1음식 지불 포함)</t>
  </si>
  <si>
    <t>9월 23일</t>
  </si>
  <si>
    <r>
      <rPr>
        <b/>
        <sz val="11"/>
        <color theme="1"/>
        <rFont val="맑은 고딕"/>
      </rPr>
      <t>숙련 벽돌공</t>
    </r>
    <r>
      <rPr>
        <sz val="11"/>
        <color theme="1"/>
        <rFont val="맑은 고딕"/>
      </rPr>
      <t>/창고 관리인</t>
    </r>
  </si>
  <si>
    <r>
      <t>청사진</t>
    </r>
    <r>
      <rPr>
        <sz val="11"/>
        <color theme="1"/>
        <rFont val="맑은 고딕"/>
      </rPr>
      <t>/이중날 쟁기/베틀</t>
    </r>
  </si>
  <si>
    <t>치안관</t>
  </si>
  <si>
    <t>책장</t>
  </si>
  <si>
    <t>양토 채굴장</t>
  </si>
  <si>
    <t>부엌방</t>
  </si>
  <si>
    <t>8순위</t>
  </si>
  <si>
    <t>채소 장수</t>
  </si>
  <si>
    <t>- '날품팔이' 행동 칸을 이용할 때마다, 음식 2개 대신에 서로 다른 종류의 가축 3마리를 가져올 수 있습니다. 그렇게 한다면, 남아있는 수확횟수만큼의 음식을 내야 합니다
※ 후반에 2번 이용해서 마지막 번식 포함해 계산</t>
  </si>
  <si>
    <t>- 이 카드를 내려놓을 때, 아직 시작하지 않은 수확 횟수만큼의 음식을 내고, 즉시 소 1마리와 멧돼지 1마리를 가져옵니다
※ 가장 마지막 라운드에 쓰는 기준으로 계산</t>
  </si>
  <si>
    <t>- '곡식 종자' 행동 칸을 이요할 때, 채소 1개를 추가로 가져옵니다</t>
  </si>
  <si>
    <t>취미로 하는 목수</t>
  </si>
  <si>
    <t>- 일하기 단계가 끝날 때, 이번 라운드에 당신이 '회합 장소' 행동 칸을 이용하지 않았다면, 가족 구성원을 놓지 않고 '방 만들기' 행동을 할 수 있습니다</t>
  </si>
  <si>
    <t>창고지기</t>
  </si>
  <si>
    <t>- 음식 누적 행동 칸에서 정확히 음식 2/3/4/5개를 가져올 때마다, 돌/갈대/흙/나무 1개를 추가로 가져옵니다. 음식을 6개 이상 가져오면 아무것도 추가로 가져올 수 없습니다</t>
  </si>
  <si>
    <t>초보 예술가</t>
  </si>
  <si>
    <t>- '날품팔이' 행동 칸을 이용한 후에, 음식 1개를 내고 지금 놓은 가족 구성원을 비어 있는 '유랑 극단'이나 '교습' 행동 칸으로 옮겨 이용할 수 있습니다</t>
  </si>
  <si>
    <t>흙 파수꾼</t>
  </si>
  <si>
    <t>- 다른 플레이어가 '점토 채굴장' 누적 칸을 이용할 때마다, 흙 1개를 가져옵니다. 게임 인원이 3/4명이라면, 흙/음식 1개를 추가로 가져옵니다.</t>
  </si>
  <si>
    <t>- 돌집에 살고 있다면, 매 라운드가 시작될 때마다 직업이나 보조 설비 1개를 내려놓을 수 있습니다. 직업을 내려놓으려면 음식 1개를 내고, 보조 설비를 내려놓으려면 해당 비용을 냅니다</t>
  </si>
  <si>
    <t>- 돌집에 살고 있다면, 남은 모든 라운드 칸에 음식 3개씩을 놓습니다. 해당 라운드가 시작될 때마다 이 음식을 가져옵니다</t>
  </si>
  <si>
    <t>해안 감독관</t>
  </si>
  <si>
    <t>- 이 카드를 내려놓을 때와, 준비 단계에서 비어있는 '갈대밭' 누적 칸에 갈대 1개가 놓일 때마다, 나무 1개를 가져옵니다</t>
  </si>
  <si>
    <t>환영술사</t>
  </si>
  <si>
    <t>- 건축자원 누적 칸을 이용할 때마다 한 번씩, 손에서 카드 1장을 버리고, 그 누적 칸에 해당하는 건축 자원 1개를 추가로 가져옵니다</t>
  </si>
  <si>
    <t>협동조합 쟁기꾼</t>
  </si>
  <si>
    <t>- '농지' 행동 칸을 이용할 때, '곡식 종자' 행동 칸에 가족 구성원(누구의 가족이든 상관없이)이 놓여있다면 밭 1개를 추가로 일굴 수 있습니다</t>
  </si>
  <si>
    <t>흙 운반자</t>
  </si>
  <si>
    <t>- 이 카드를 내려놓을때, 즉식 흙 2개를 가져옵니다. 라운드마다 한 번 씩 아무 때나, 음식 2개를 내고 흙 2개를 구매할 수 있습니다</t>
  </si>
  <si>
    <t>흙 뚫는 사람</t>
  </si>
  <si>
    <t>- 이 카드를 놓을 때, 그리고 '교습' 행동 칸이나 '흙 채굴장' 누적 행동 칸을 이용할 때마다 그 직후에, 흙 1개를 가져옵니다</t>
  </si>
  <si>
    <t>항구 중개인</t>
  </si>
  <si>
    <t>- 음식 누적 행동 칸에서 음식 1/2/3+개를 가져올 때마다, 채소/곡식/갈대 1개를 추가로 가져옵니다</t>
  </si>
  <si>
    <t>현지 상인</t>
  </si>
  <si>
    <t>- 이 카드를 내려놓으면, 즉시 나무 1개와 갈대 1개를 가져옵니다. '보조 설비 내리기/주요 설비 짓기' 행동을 하지 않고 넘길때마다, 대신에 음식/채소 1개를 가져옵니다</t>
  </si>
  <si>
    <t>회장</t>
  </si>
  <si>
    <t>- 다른 플레이어가 '회합 장소' 행동 칸을 이용할 때마다, 해당 행동을 하기 전에 당신과 그 플레이어는 각각 음식 1개씩을 가져옵니다. 당신이 '회합 장소' 행동 칸을 이용할 때마다, 해당 행동을 하기 전에 음식 1개를 가져옵니다</t>
  </si>
  <si>
    <t>흑단 조각가</t>
  </si>
  <si>
    <t>- 매 수확마다 한 번씩, 이 카드를 이용하여 나무 1개를 음식 1개와 곡식 1개로 바꿀 수 있습니다</t>
  </si>
  <si>
    <t>현장 관리자</t>
  </si>
  <si>
    <t>- 이 카드를 놓을 때 3/6/9번의 라운드가 남았다면 나무 2/3/4개를 가져옵니다. 점수를 계산할 때, 모든 종류의 건축 자원을 1/2/3개 이상 모은 플레이어는 모두 추가점수 1/3/5점씩을 받습니다</t>
  </si>
  <si>
    <t>파종 관리자</t>
  </si>
  <si>
    <t>파수꾼</t>
  </si>
  <si>
    <t>포장 예술가</t>
  </si>
  <si>
    <t>판금 명인</t>
  </si>
  <si>
    <t>큐레이터</t>
  </si>
  <si>
    <t>토양 과학자</t>
  </si>
  <si>
    <t>토기 그릇 제작자</t>
  </si>
  <si>
    <t>특사</t>
  </si>
  <si>
    <t>- 다른 플레이어가 '곡식 활용' 행동 칸을 이용할 때마다 그 후에, 당신은 '씨 뿌리기' 행동을 할 수 있습니다</t>
  </si>
  <si>
    <t>- 매 라운드 1/2/3번째 가족 말로 정확히 5/4/3개의 건축 자원이 놓인 자원 누적 행동 칸을 이용할 때마다, 음식 1개를 추가로 가져옵니다</t>
  </si>
  <si>
    <t>- '곡식 활용' 행동 칸을 이용할 때마다, 흙 2개와 나무 1개를 추가로 가져옵니다.</t>
  </si>
  <si>
    <t>- 이 카드를 내려놓을 때, 즉시 곡식 1개를 가져옵니다. '보조 설비 내리기' 행동을 할 때마다, '빵 굽기' 행동을 대신 할 수 있습니다</t>
  </si>
  <si>
    <t>- 외양간이 없는 우리에 가축을 1마리씩 더 키울 수 있습니다. 밭에 씨를 뿌릴 때마다, 그 밭에 해당 작물을 추가로 1개 더 놓을 수 있습니다.
※ 정확한 가치 판단 어려워 추가이득 1로 설정</t>
  </si>
  <si>
    <t>- 이 카드를 내려놓으면 즉시 곡식 1개를 가져옵니다. 수확 중 농장 단계에서 곡식밭마다 곡식 1개를 추가로 수확할 수 있습니다.
※ 정확한 가치 판단 어려워 추가이득 1로 설정</t>
  </si>
  <si>
    <t>- 매 라운드 집에 돌아오기 단계마다, 자원 누적 행동 칸에서 자신의 가족 말이 셋 이상 돌아왔다면, 음식 딱 1개를 내고 추가점수 1점을 받을 수 있습니다</t>
  </si>
  <si>
    <t>- 흙/돌 누적 칸을 이용할 때마다, 그 후에, 개인 창고에서 돌 1개/흙 2개를 가져와서 그 칸에 놓고 곡식 2개/채소 1개를 가져올 수 있습니다</t>
  </si>
  <si>
    <t>- 4라운드 또는 그 이전에 이 카드를 내려놓았다면, 마지막 수확을 마친 다음, 최대 당신의 가족 구성원 수만큼, 흙 1개를 내고 추가점수 1점씩을 받을 수 있습니다</t>
  </si>
  <si>
    <t>- 아무 때나, 개인 창고에서 물건 1개를 가져와 이 카드 위에 놓고, 공동 창고에서 돌 1개를 가져올 수 있습니다. 이 카드 위에는 반드시 서로 다른 종류의 물건을 놓아야 합니다. (음식도 물건에 해당 합니다)</t>
  </si>
  <si>
    <t>원본 이름</t>
  </si>
  <si>
    <t>교습 (무료)</t>
  </si>
  <si>
    <t>이름
(아레나 Ver.)</t>
  </si>
  <si>
    <t>삼림 소유자</t>
  </si>
  <si>
    <t>- 곡식 종자 행동 칸을 이용할 때, 추가로 곡식 1개와 채소 1개를 가져올 수 있습니다. 이 경우 다른 플레이어들은 공동 창고에서 곡식 1개씩을 가져갑니다.</t>
  </si>
  <si>
    <t>CD덱</t>
  </si>
  <si>
    <t>카드 조합에 따라 가치 변동이 큰 카드</t>
  </si>
  <si>
    <t>즉시 자원을 주는 경우 자원 받는 내용도 포함</t>
  </si>
  <si>
    <t>- 다른 플레이어가 집을 고치면 즉시 갈대 1개를 가져옵니다. 3인 게임에서 이 카드를 내려놓으면 즉시 갈대 1개를 가져옵니다.</t>
  </si>
  <si>
    <t>밀사</t>
  </si>
  <si>
    <t>상자 제작자</t>
  </si>
  <si>
    <t>감자 수확자</t>
  </si>
  <si>
    <t>- 이 카드를 내려놓으면 즉시 음식 3개를 가져옵니다. 수확 중 농장 단계에서 수확한 채소마다 음식 1개씩을 추가로 가져옵니다.
※ 채소 5개 수확한다고 가정</t>
  </si>
  <si>
    <t>- 곡식 활용, 농지, 밭 농사 행동 칸을 이용하기 전에 음식 1개를 내고 곡식 1개를 살 수 있습니다</t>
  </si>
  <si>
    <t>숲 평가원</t>
  </si>
  <si>
    <t>- 울타리 치기나 방 만들기 행동이 포함된 행동 칸을 이용하기 전에, 나무 2개를 가져오거나 나무를 2개까지 내고 그 수만큼 갈대를 가져올 수 있습니다</t>
  </si>
  <si>
    <t>병사</t>
  </si>
  <si>
    <t>발굽 관리인</t>
  </si>
  <si>
    <t>가게 보는 사람</t>
  </si>
  <si>
    <t>- 곡식 종자 행동 칸을 이용할 때, 밭 1개를 일굴 수 있습니다</t>
  </si>
  <si>
    <t>- 이 카드를 내려놓으면 즉시 곡식 종자 1개를 가져옵니다. 수확이 끝날 때, 음식 2개를 내고 채소 1개를 살 수 있습니다</t>
  </si>
  <si>
    <t>- 다음 라운드 칸 5개에 나무 1개씩을 놓습니다. 해당 라운드가 시작될 때마다 이 나무를 가져옵니다</t>
  </si>
  <si>
    <t>- 집을 고칠 때마다 다음 라운드 칸 6개에 음식 1개씩을 놓습니다. 해당 라운드가 시작될 때마다 이 음식을 가져옵니다</t>
  </si>
  <si>
    <t>퍼센트</t>
  </si>
  <si>
    <t>설탕 제조업자</t>
  </si>
  <si>
    <t>은둔 농부</t>
  </si>
  <si>
    <t>집 고치는 숙련공</t>
  </si>
  <si>
    <t>모형 제작자</t>
  </si>
  <si>
    <t>목축업자</t>
  </si>
  <si>
    <t>9월 25일</t>
  </si>
  <si>
    <r>
      <rPr>
        <b/>
        <sz val="11"/>
        <color theme="1"/>
        <rFont val="맑은 고딕"/>
      </rPr>
      <t>채소 장수</t>
    </r>
    <r>
      <rPr>
        <sz val="11"/>
        <color theme="1"/>
        <rFont val="맑은 고딕"/>
      </rPr>
      <t>/</t>
    </r>
    <r>
      <rPr>
        <b/>
        <sz val="11"/>
        <color theme="1"/>
        <rFont val="맑은 고딕"/>
      </rPr>
      <t>장작 채집자</t>
    </r>
    <r>
      <rPr>
        <sz val="11"/>
        <color theme="1"/>
        <rFont val="맑은 고딕"/>
      </rPr>
      <t>/갈대 지붕 고치는 사람/감자 수확자/은둔 농부</t>
    </r>
  </si>
  <si>
    <r>
      <rPr>
        <b/>
        <sz val="11"/>
        <color theme="1"/>
        <rFont val="맑은 고딕"/>
      </rPr>
      <t>외바퀴 쟁기/양토 채굴장</t>
    </r>
  </si>
  <si>
    <t>사제 쓴다고 발악해놓고 사제도 안 썼고, 집도 바로 못 늘린게 패착이었다. 첫 가늘이 무려 12R였음</t>
  </si>
  <si>
    <t>- 게임이 끝났을 때, 빈 칸 1개당 음식 1개씩을 낼 수 있습니다. 음식을 낸 빈칸에 대해서는 감점을 받지 않습니다</t>
  </si>
  <si>
    <t>- 2/3/4번째 외양간을 지을 때 소/돼지/양 1마리를 가져옵니다. (한 번에 외양간을 여러 개 짓는다면 그에 맞춰 여러 마리의 가축을 한 번에 가져옵니다. 이미 지은 외양간에 대한 가축은 가져오지 않습니다.)</t>
  </si>
  <si>
    <t>건축가</t>
  </si>
  <si>
    <t>- 게임 중 1번, 집에 방이 5개 이상 있을 때 아무 때나 방 1개를 공짜로 만들 수 있습니다</t>
  </si>
  <si>
    <t>침실</t>
  </si>
  <si>
    <t>목수의 객실</t>
  </si>
  <si>
    <t>흙 파이프</t>
  </si>
  <si>
    <t>경질 자기</t>
  </si>
  <si>
    <t>- 수확 중 가족 먹여살리기 단계에서 1번씩, 채소 1개를 내고 음식 5개를 가져올 수 있습니다.</t>
  </si>
  <si>
    <t>- 소 시장 누적 칸을 이용할 때마다, 소 1마리를 추가로 가져옵니다</t>
  </si>
  <si>
    <t xml:space="preserve">- 매 라운드의 집에 돌아오기 단계에서, 흙이 있다면 흙을 모두 버리고 음식 3개나 추가 1점을 받을 수 있습니다
※ 5~9라운드 음식 3개, 11~14라운드 점수 </t>
  </si>
  <si>
    <t>- 이 카드를 내려놓으면 즉식 곡식 1개를 가져옵니다. 곡식 종자 행동 칸을 이용할 때, 곡식 1개를 추가로 가져옵니다</t>
  </si>
  <si>
    <t>- 14라운드의 마지막 수확 직전에 게임판의 모든 건축 자원을 가져올 수 있습니다</t>
  </si>
  <si>
    <t>- 이 카드를 내려놓으면 즉시 나무 1개와 흙 1개를 가져옵니다. 집을 고칠 때, 그 라운드에 놓은 사람 수만큼 나무를 가져옵니다</t>
  </si>
  <si>
    <t>소 구매인</t>
  </si>
  <si>
    <t>- 다른 플레이어가 울타리 행동 칸을 이용할 때마다 1번씩, 음식 1/2/2개를 내고 양/돼지/소 1마리를 살 수 있습니다</t>
  </si>
  <si>
    <t xml:space="preserve">- 한 차례에 최소 2개 이상의 외양간을 지을 때마다, 소 1마리를 추가로 가져옵니다 </t>
  </si>
  <si>
    <t xml:space="preserve">- 아무 때나, 양 1마리를 멧돼지 1마리, 채소 1개, 돌 1개 중 하나로 바꿀 수 있습니다 </t>
  </si>
  <si>
    <t xml:space="preserve">- '곡식 종자' 행동 칸을 이용할때, 음식 1개를 내고 소 1마리를 살 수 있습니다 </t>
  </si>
  <si>
    <t xml:space="preserve">- '날품팔이' 행동 칸을 이용할 때마다, 추가로 양 1마리나 곡식 1개를 가져오거나, 음식 1/2개를 내고 멧돼지/소 1마리를 구매할 수 있습니다 </t>
  </si>
  <si>
    <t xml:space="preserve">- 이 카드를 내려놓으면 즉시 나무 1개를 내고 외양간 1개를 지을 수 있습니다. 울타리 치지 않은 외양간 중 1개에 한 종류의 가축 3마리까지를 키울 수 있습니다 </t>
  </si>
  <si>
    <t xml:space="preserve">- 가축 누적 칸을 이용할 때마다, 해당 누적 칸 위 또는 아래로 인접한 행동 칸에 당신의 가족 구성원이 놓여있다면, 멧돼지 1마리를 추가로 가져옵니다 </t>
  </si>
  <si>
    <t xml:space="preserve">- '교습' 행동 칸을 이용할 때마다, 그 직후에 음식 0/1/2개로 양/멧돼지/소 1마리를 구입할 수 있습니다 </t>
  </si>
  <si>
    <t>- 아무 때나, 가족 구성원을 놓지 않고도 '외양간 짓기' 행동을 할 수 있습니다. 이렇게 짓는 외양간은 비용으로 나무 1개와 음식 1개를 냅니다
※ 외양간 짓기 행동을 0.25로 계산</t>
  </si>
  <si>
    <t xml:space="preserve">- 나무 누적 칸을 이용한 후에, 곡식 1개를 내고 멧돼지 1마리를 가져올 수 있습니다 </t>
  </si>
  <si>
    <t xml:space="preserve">- 매 수확 직전에 , 곡식밭 1/3/4개에서 곡식 1개씩을 버리고 멧돼지 1/2/3마리를 가져올 수 있습니다 </t>
  </si>
  <si>
    <t>음식엔진</t>
  </si>
  <si>
    <t>초반음식</t>
  </si>
  <si>
    <t>나무10</t>
  </si>
  <si>
    <t>갈대4</t>
  </si>
  <si>
    <t>무행동 라운드당 3음식 or 1행동 8음식</t>
  </si>
  <si>
    <t>음식 8개</t>
  </si>
  <si>
    <t>빠른 가늘</t>
  </si>
  <si>
    <t>곡식1</t>
  </si>
  <si>
    <t>채소2</t>
  </si>
  <si>
    <t>씨뿌리기1</t>
  </si>
  <si>
    <t>나무15</t>
  </si>
  <si>
    <t>밭5</t>
  </si>
  <si>
    <t>초/중/후반</t>
  </si>
  <si>
    <t>효율 100% 이상</t>
  </si>
  <si>
    <t>기대값 양수</t>
  </si>
  <si>
    <t>분류</t>
  </si>
  <si>
    <t>가늘/울타리 치기</t>
  </si>
  <si>
    <t>가늘/흙집/돌집</t>
  </si>
  <si>
    <t>가늘/점수</t>
  </si>
  <si>
    <t>사료 뿌리는 사람</t>
  </si>
  <si>
    <t>흙 나르는 사람</t>
  </si>
  <si>
    <t>대형 온실</t>
  </si>
  <si>
    <t>작은 우리</t>
  </si>
  <si>
    <t>초반음식(없음 화로)</t>
  </si>
  <si>
    <t>9월 26일</t>
  </si>
  <si>
    <r>
      <rPr>
        <b/>
        <sz val="11"/>
        <color theme="1"/>
        <rFont val="맑은 고딕"/>
      </rPr>
      <t>버섯 따는 사람</t>
    </r>
    <r>
      <rPr>
        <sz val="11"/>
        <color theme="1"/>
        <rFont val="맑은 고딕"/>
      </rPr>
      <t>/쟁기 제작자/양의 친구</t>
    </r>
  </si>
  <si>
    <t>개인 숲/청사진</t>
  </si>
  <si>
    <t>가늘하는 전라운드는 무조건 선턴 잡는 습관 들이자...
엄청 좋은 자원 먹는 상황이 아니라면 꼭 필요한 교습/설비부터</t>
  </si>
  <si>
    <t>자가 양조자</t>
  </si>
  <si>
    <t>유기농부</t>
  </si>
  <si>
    <t>- 이 카드를 내려놓을 때, 1/3/6/9번의 라운드가 남았다면 나무 1/2/3/4개를 가져옵니다. 게임이 끝났을 때 감점이 하나도 없는 플레이어는 모두 추가 점수 3점씩을 받습니다.</t>
  </si>
  <si>
    <t>딸기포</t>
  </si>
  <si>
    <t>- 현재 라운드에 4, 7, 10을 더한 라운드 칸에 밭 타일 1개씩을 놓습니다. 해당 라운드가 시작될 때마다 음식 1개를 내고 이 밭을 일굴 수 있습니다.</t>
  </si>
  <si>
    <t>밭 (7R)</t>
  </si>
  <si>
    <t>- 수확 중 번식 단계에서 가져온 새끼 가축마다 밭 1개에 씨를 뿌릴 수 있습니다</t>
  </si>
  <si>
    <t>- 6~14라운드 칸에 흙 1개씩을 놓습니다. 해당 라운드가 시작될 때마다 이 
흙을 가져옵니다.</t>
  </si>
  <si>
    <t>- 농지나 밭 농사 행동 칸을 이용할 때, 음식 1개로 밭 1개를 더 일굴 수 있습니다</t>
  </si>
  <si>
    <t>- 수확 중 농장 단계가 끝난 뒤 1번씩, 곡식 1개를 내고 음식 3개나 추가 1점을 받을 수 있습니다</t>
  </si>
  <si>
    <t>- 설비를 놓을 때와 집을 고칠 때 흙 1개씩을 적게 냅니다. 방을 만들 때는 
 흙 2개씩을 적게 냅니다.</t>
  </si>
  <si>
    <t>- 날품팔이 행동 칸을 이용한 뒤 나무 1개와 흙 1개를 추가로 가져오며, 
 음식 1개를 내고 돌 1개를 살 수 있습니다.</t>
  </si>
  <si>
    <t>초반음식/건축자원</t>
  </si>
  <si>
    <t>경리 담당자</t>
  </si>
  <si>
    <t>- 나무집을 흙집으로 고칠 때 비용으로 흙 1개와 갈대 1개만 냅니다. 흙집에 방을 만들 때, 방 1개당 흙 3개와 갈대 2개만 냅니다.</t>
  </si>
  <si>
    <t>- 1~8라운드 행동 칸을 이용할 때 이 카드에 음식 1개를 놓습니다. 이 카드에 음식 3개가 놓이면 모인 음식을 가져옵니다.</t>
  </si>
  <si>
    <t>- 이 카드를 내려놓을 때와 수확 중 가족 먹여살리기 단계를 시작할 때, 즉시 빵 굽기 행동을 할 수 있습니다.</t>
  </si>
  <si>
    <t>- 이 카드 위에 곡식 2개와 채소 2개를 놓습니다. 아무 때나, 음식 2개를 내고 이 카드 위의 곡식 1개를, 음식 3개를 내고 이 카드 위의 채소 1개를 살 수 있습니다.</t>
  </si>
  <si>
    <t>- 이 카드 위에 돌집 방 1개를 놓습니다. 게임 중 1번, 방이 4개 이상 있는 돌집을 가지고 있을 때 아무 때나, 건축 자원을 내지 않고 이 카드 위의 방을 만들 수 있습니다.</t>
  </si>
  <si>
    <t>- 곡식 활용 행동 칸을 이용한 뒤, 음식 1개를 내고 추가 1점을 받을 수 있습니다. 낸 음식은 곡식 활용 행동 칸에 놓습니다.</t>
  </si>
  <si>
    <t>- 새로 가져오는 밭 타일마다, 나무 1개와 음식 1개를 추가로 가져옵니다.</t>
  </si>
  <si>
    <t>짐꾼</t>
  </si>
  <si>
    <t>- 한 누적 칸에서 같은 건축 자원 4개 이상을 가져갈 때, 같은 자원 1개와 음식 1개를 추가로 가져옵니다.</t>
  </si>
  <si>
    <t>건축 자원</t>
  </si>
  <si>
    <t>곡식/돌/건축 자원</t>
  </si>
  <si>
    <t>울타리치기/곡식/채소</t>
  </si>
  <si>
    <t>- 매 라운드를 시작할 때마다 한 번씩, 다음 중 하나의 물건을 바꿀 수 있습니다.
1소↔1채소 / 2양↔1채소 / 2음식↔1곡식 
※ 2음식을 1곡식으로 바꾸는 행동 8번 기준으로 계산. 양 보행자와 결합시, 양과 채소 복사 가능</t>
  </si>
  <si>
    <t>양/소/곡식/채소</t>
  </si>
  <si>
    <t>건축자원/곡식/채소</t>
  </si>
  <si>
    <t>울타리치기/가늘</t>
  </si>
  <si>
    <t>- 이 카드 위에 자원을 그림처럼 쌓습니다. 아무 때나, 맨 위에 있는 자원을 음식 1개를 내고 살 수 있습니다
(나무, 곡식, 갈대, 돌, 채소, 흙, 갈대, 채소)</t>
  </si>
  <si>
    <t>곡식/채소/갈대</t>
  </si>
  <si>
    <t>급한음식</t>
  </si>
  <si>
    <t>곡식/급한음식</t>
  </si>
  <si>
    <t>가늘/울타리치기</t>
  </si>
  <si>
    <t>음식엔진(1)</t>
  </si>
  <si>
    <t>음식엔진(1)/채소</t>
  </si>
  <si>
    <t>초반음식/음식엔진(2)</t>
  </si>
  <si>
    <t>초반음식/음식엔진(3)</t>
  </si>
  <si>
    <t>음식엔진(3)</t>
  </si>
  <si>
    <t>음식엔진/곡식</t>
  </si>
  <si>
    <t>초반음식/가늘</t>
  </si>
  <si>
    <t>가늘/초반음식</t>
  </si>
  <si>
    <t>음식엔진(주요설비)</t>
  </si>
  <si>
    <t>흙집/흙</t>
  </si>
  <si>
    <t>건축자원/가늘</t>
  </si>
  <si>
    <t>가늘/갈대</t>
  </si>
  <si>
    <t>돌집/점수</t>
  </si>
  <si>
    <t>갈대/곡식</t>
  </si>
  <si>
    <t>음식엔진(채소)</t>
  </si>
  <si>
    <t>부랑자</t>
  </si>
  <si>
    <t>흙집업+우물</t>
  </si>
  <si>
    <t>9월 29일</t>
  </si>
  <si>
    <t>치안관/나뭇가지 모으는 사람/마술사</t>
  </si>
  <si>
    <t>도기/부엌방/작은 우리/끝없는 굶주림</t>
  </si>
  <si>
    <t xml:space="preserve">- 그냥 공방은 이제 씹어먹는다. 마지막까지 항상 내가 갖고있는거 확인하는 습관 들일 것 </t>
  </si>
  <si>
    <t>당근 박물관</t>
  </si>
  <si>
    <t>45점</t>
  </si>
  <si>
    <t>- 이 카드를 내려놓으면 다음 수확 단계를 건너뜁니다. (가족 먹여살리기도 건너뜁니다)
※ 사람 3명일 때 썼다고 가정</t>
  </si>
  <si>
    <t>돌집/음식엔진</t>
  </si>
  <si>
    <t>흙집/돌집/음식엔진(1)</t>
  </si>
  <si>
    <t>- 이 카드를 내려놓으면 즉시 흙 2개를 가져옵니다. 아무 때나, 흙을 내고 
돌을 가져올 수 있습니다. 흙 2개를 내면 돌 1개, 흙 3개를 내면 돌 2개를 가져옵니다.</t>
  </si>
  <si>
    <t>숙련 석공 조합원</t>
  </si>
  <si>
    <t>- 일하기 단계가 시작될 때마다, 방이 정확히 2개인 흙/돌집에서 살고 있다면 흙/돌 2개를 가져옵니다.
※ 흙이나 돌 8개 가져온다는 가정</t>
  </si>
  <si>
    <t>가축/곡식/채소</t>
  </si>
  <si>
    <t>- 이 카드는 나만 이용할 수 있는 행동 칸입니다. 이 카드를 1/2/3/4번째로 이용했을 때, 구걸 토큰 1개와 서로 다른 자원 6/7/8/9개를 가져옵니다.
※ 1번 이용한다는 가정</t>
  </si>
  <si>
    <t>양식 어부</t>
  </si>
  <si>
    <t>양/우리</t>
  </si>
  <si>
    <t>초반음식/음식엔진(1)</t>
  </si>
  <si>
    <t>뜨개장이</t>
  </si>
  <si>
    <t>대규모 경작 농부</t>
  </si>
  <si>
    <t>우리 짓기 명수</t>
  </si>
  <si>
    <t>- 이 카드를 놓을 때 1/3/6/9번의 라운드가 남았다면 나무 1/2/3/4개를 가져옵니다. 점수를 계산할 때, 밭에 가장 채소가 많은 플레이어 모두가 추가 2점씩을 받습니다.</t>
  </si>
  <si>
    <t>씨 뿌리기 감독관</t>
  </si>
  <si>
    <t>부자</t>
  </si>
  <si>
    <t>트러플 찾는 사람</t>
  </si>
  <si>
    <t>- 다른 플레이어가 집을 고칠 때마다 1번씩, 나무 2개를 내고 곡식 1개, 음식 1개, 추가 1점을 받을 수 있습니다.
※ 4번 발동한다는 가정</t>
  </si>
  <si>
    <t>보조설비 행동 손익
(행동 및 재료 포함)</t>
  </si>
  <si>
    <t>재료</t>
  </si>
  <si>
    <t>- 2점. 수확 때마다 나무 1개를 음식 2개로 바꿀 수 있습니다. 점수 계산할 때, 나무 3/5/7개를 1/2/3점으로 한 번 바꿀 수 있습니다
※ 나무 음식 바꾸기 4번 했다고 가정</t>
  </si>
  <si>
    <t>2나무/2돌</t>
  </si>
  <si>
    <t>- 2점. 수확 때마다 흙 1개를 음식 2개로 바꿀 수 있습니다. 점수 계산할 때, 흙 3/5/7개를 1/2/3점으로 한 번 바꿀 수 있습니다
※ 흙 음식 바꾸기 4번 했다고 가정</t>
  </si>
  <si>
    <t>2흙/2돌</t>
  </si>
  <si>
    <t>- 2점. 수확 때마다 갈대 1개를 음식 2개로 바꿀 수 있습니다. 점수 계산할 때, 갈대 2/4/5개를 1/2/3점으로 한 번 바꿀 수 있습니다
※ 갈대 음식 바꾸기 4번 했다고 가정</t>
  </si>
  <si>
    <t>음식엔진(1.5)</t>
  </si>
  <si>
    <t>2갈대/2돌</t>
  </si>
  <si>
    <t>음식엔진(곡식)</t>
  </si>
  <si>
    <t>음식엔진(빵 굽기)</t>
  </si>
  <si>
    <t>- 2점. '빵 굽기' 행동으로 곡식 1개를 음식 5개로 바꿉니다. 이 설비를 지을 때 즉시 '빵 굽기' 행동을 할 수 있습니다.
※ 곡식-&gt;음식 바꾸기 5번 했다고 가정</t>
  </si>
  <si>
    <t>3흙/1돌</t>
  </si>
  <si>
    <t>- 2점. '빵 굽기' 행동으로 곡식 2개까지를 음식 8개로 바꿀 수 있습니다. 이 설비를 지을 때 즉시 '빵 굽기' 행동을 할 수 있습니다.
※ 곡식-&gt;음식 바꾸기 8번 했다고 가정</t>
  </si>
  <si>
    <t>3돌/1흙</t>
  </si>
  <si>
    <t>- 4점. 다음 라운드 칸 5개에 음식을 1개씩 놓습니다. 해당 라운드가 시작될 때마다, 이 음식을 가져옵니다.</t>
  </si>
  <si>
    <t>3돌/1나무</t>
  </si>
  <si>
    <t>화로(2흙)</t>
  </si>
  <si>
    <t>화로(3흙)</t>
  </si>
  <si>
    <t>2흙</t>
  </si>
  <si>
    <t>3흙</t>
  </si>
  <si>
    <t>4흙</t>
  </si>
  <si>
    <t>5흙</t>
  </si>
  <si>
    <t>행동 1회당 이득</t>
  </si>
  <si>
    <t>선턴잡기</t>
  </si>
  <si>
    <t>교습
(무료)</t>
  </si>
  <si>
    <t>화덕(4흙)</t>
  </si>
  <si>
    <t>화덕(5흙)</t>
  </si>
  <si>
    <t>- 1점. 아무 때나:
1채소 → 2음식/1돼지 → 2음식/1양 → 2음식/1소 → 3음식
'빵 굽기' 행동: 1곡식 → 2음식 
※ 양 8번 굽는 기준으로 계산. 그 이외에는 적자</t>
  </si>
  <si>
    <t>- 1점. 아무 때나:
1채소 → 3음식/1돼지 → 3음식/1양 → 2음식/1소 → 4음식
'빵 굽기' 행동: 1곡식 → 3음식 
※ 양/돼지/소 12번 굽는 기준으로 계산</t>
  </si>
  <si>
    <t>9월 30일</t>
  </si>
  <si>
    <t>흙판</t>
  </si>
  <si>
    <t>우시장</t>
  </si>
  <si>
    <t>채소먹고 씨뿌</t>
  </si>
  <si>
    <t>밭가 씨뿌</t>
  </si>
  <si>
    <t>교습(음식)</t>
  </si>
  <si>
    <t>나무 모으는 사람/</t>
  </si>
  <si>
    <t>- 집고치기 코어카드없으면 사제같은 이상한거 하지말자? 응?</t>
  </si>
  <si>
    <t>가축 먹이는 사람</t>
  </si>
  <si>
    <t>밭/음식엔진(곡식)/곡식</t>
  </si>
  <si>
    <t>- 이 카드를 놓을 때, 즉시 곡식 1개를 받습니다. 갖고 있는 곡식 수만큼 이 카드 위에 가축을 키울 수 있습니다.</t>
  </si>
  <si>
    <t>소의 친구</t>
  </si>
  <si>
    <t>소 (5R)</t>
  </si>
  <si>
    <t>음식엔진(2)</t>
  </si>
  <si>
    <t>음식엔진(1)/초반음식</t>
  </si>
  <si>
    <t>후반 가늘</t>
  </si>
  <si>
    <t>빠른 가늘/초반음식</t>
  </si>
  <si>
    <t>울타리치기/나무</t>
  </si>
  <si>
    <t>음식엔진(돼지)</t>
  </si>
  <si>
    <t>Special</t>
  </si>
  <si>
    <t>이름 변환</t>
  </si>
  <si>
    <t>곡식/채소/울타리치기</t>
  </si>
  <si>
    <t>곡식/설비</t>
  </si>
  <si>
    <t>음식엔진(교습,2)</t>
  </si>
  <si>
    <t>갈대/돌/멧돼지</t>
  </si>
  <si>
    <t>특수</t>
  </si>
  <si>
    <t>음식엔진(2,농사)</t>
  </si>
  <si>
    <t>돼지/채소/돌 (양)</t>
  </si>
  <si>
    <t>흙집/울타리치기</t>
  </si>
  <si>
    <t>수렵꾼</t>
  </si>
  <si>
    <t>바람둥이</t>
  </si>
  <si>
    <t>부유한 소작농</t>
  </si>
  <si>
    <t>시골 사람</t>
  </si>
  <si>
    <t>양 (4R)</t>
  </si>
  <si>
    <t>갈대(설비)</t>
  </si>
  <si>
    <t>설비(제작소)</t>
  </si>
  <si>
    <t>외양간 (5R)</t>
  </si>
  <si>
    <t>채소(농경)</t>
  </si>
  <si>
    <t>급한음식or점수</t>
  </si>
  <si>
    <t>- 갱신: 이 카드를 내려놓으면 즉시 나무 2개를 가져옵니다. 방을 만들 때마다 각각 나무 1개씩을 덜 내고 만든 방의 수만큼 설비를 내려놓을 수 있습니다</t>
  </si>
  <si>
    <t>가늘/설비</t>
  </si>
  <si>
    <t>같이행동</t>
  </si>
  <si>
    <t>중반/채소</t>
  </si>
  <si>
    <t>음식엔진(농경)/울타리치기</t>
  </si>
  <si>
    <t>추가행동(곡식)</t>
  </si>
  <si>
    <t>돌(음식)</t>
  </si>
  <si>
    <t>흙(농경)</t>
  </si>
  <si>
    <t>곡식/가축</t>
  </si>
  <si>
    <t>교습(빵 굽기)</t>
  </si>
  <si>
    <t>빠른 가늘(밭)</t>
  </si>
  <si>
    <t>가늘/초반음식/음식엔진</t>
  </si>
  <si>
    <t>가늘(음식)</t>
  </si>
  <si>
    <t>초반/교습</t>
  </si>
  <si>
    <t>곡식/채소/초반음식</t>
  </si>
  <si>
    <t>음식엔진(농경)</t>
  </si>
  <si>
    <t>갈대/곡식/채소(설비)</t>
  </si>
  <si>
    <t>음식엔진(갈대)</t>
  </si>
  <si>
    <t>음식엔진(1/설비)</t>
  </si>
  <si>
    <t>점수(교습)</t>
  </si>
  <si>
    <t>가축(교습)</t>
  </si>
  <si>
    <t>- '낚시' 또는 '갈대밭'을 이용 할때마다, 음식 1개를 내고 사용하지 않은 다른 가족 구성원 1명을 즉시 이 카드 위에 놓을 수 있습니다. 그렇게 한다면, 돌 3개를 가져오거나, 곡식 1개와 채소 1개를 가져옵니다</t>
  </si>
  <si>
    <t>곡식/채소/돌</t>
  </si>
  <si>
    <t>나무(중반)</t>
  </si>
  <si>
    <t>나무(설비)</t>
  </si>
  <si>
    <t>가늘/갈대(나무)</t>
  </si>
  <si>
    <t>- 이 카드를 내려놓으면 즉시 나무 1개와 흙 2개를 가져옵니다. 곡식 종자나 채소 종자 행동 칸을 사용한 뒤 흙 1개를 가져옵니다.</t>
  </si>
  <si>
    <t>점수(돼지)</t>
  </si>
  <si>
    <t>점수(곡식밭)</t>
  </si>
  <si>
    <t>나무(교습)</t>
  </si>
  <si>
    <t>설비(보조)</t>
  </si>
  <si>
    <t>점수(우리)</t>
  </si>
  <si>
    <t>점수(주요설비)</t>
  </si>
  <si>
    <t>음식엔진(나무,1)/초반음식</t>
  </si>
  <si>
    <t>나무(농경)</t>
  </si>
  <si>
    <t>티어보정</t>
  </si>
  <si>
    <t>외양간(나무/음식)</t>
  </si>
  <si>
    <t>음식엔진(가축)</t>
  </si>
  <si>
    <t>설비(주요/보조)</t>
  </si>
  <si>
    <t>가축(외양간)</t>
  </si>
  <si>
    <t>돌집(외양간)</t>
  </si>
  <si>
    <t>점수(가축)</t>
  </si>
  <si>
    <t>우리(양)</t>
  </si>
  <si>
    <t>초반음식(화로)</t>
  </si>
  <si>
    <t>점수(~4R)</t>
  </si>
  <si>
    <t>설비(주요,음식)</t>
  </si>
  <si>
    <t>점수(빈칸)</t>
  </si>
  <si>
    <t>음식엔진(곡식/채소/가축)/점수</t>
  </si>
  <si>
    <t>음식엔진(곡식/외양간)</t>
  </si>
  <si>
    <t>울타리/나무</t>
  </si>
  <si>
    <t>추가행동(양/음식)</t>
  </si>
  <si>
    <t>점수(음식밭)</t>
  </si>
  <si>
    <t>울타리치기(곡식)</t>
  </si>
  <si>
    <t>- 점수를 계산할 때, 각각의 점수 계산 항목마다 최고 점수인 4점을 받았다면 추가점수 1점씩을 받습니다. (울타리 친 외양간으로 4점을 받아도 추가점수 1점을 받습니다) 
※ 3점 받는다고 계산</t>
  </si>
  <si>
    <t>점수(설비)</t>
  </si>
  <si>
    <t>점수(만점)</t>
  </si>
  <si>
    <t>점수(음식)</t>
  </si>
  <si>
    <t>점수(나무/곡식)</t>
  </si>
  <si>
    <t>점수(돌집)</t>
  </si>
  <si>
    <t>점수(곡식)</t>
  </si>
  <si>
    <t>흙(음식)</t>
  </si>
  <si>
    <t>돼지(곡식)</t>
  </si>
  <si>
    <t>점수(나무/음식)</t>
  </si>
  <si>
    <t>음식엔진(1,곡식)</t>
  </si>
  <si>
    <t>돼지(곡식밭)</t>
  </si>
  <si>
    <t>점수(나무/돌)</t>
  </si>
  <si>
    <t>우선순위
고려 밸류</t>
  </si>
  <si>
    <t>흙집/돌집/후반 가늘</t>
  </si>
  <si>
    <t>- 현재 라운드에 5를 더한 라운드 칸과 8을 더한 라운드 칸에 소 1마리씩을 놓습니다. 해당 라운드가 시작될 때마다 이 소를 가져옵니다.</t>
  </si>
  <si>
    <t>음식엔진(농경/목축)</t>
  </si>
  <si>
    <t>음식엔진(양)/초반음식</t>
  </si>
  <si>
    <t>대피소</t>
  </si>
  <si>
    <t>보조 설비
(임시)</t>
  </si>
  <si>
    <t>점수(외양간)</t>
  </si>
  <si>
    <t>이동 경작</t>
  </si>
  <si>
    <t>2음식</t>
  </si>
  <si>
    <t>편지칼</t>
  </si>
  <si>
    <t>1나무</t>
  </si>
  <si>
    <t>베이스 보드</t>
  </si>
  <si>
    <t>2음식or1곡식</t>
  </si>
  <si>
    <t>저장 헛간</t>
  </si>
  <si>
    <t>원예용 칼</t>
  </si>
  <si>
    <t>음식 바구니</t>
  </si>
  <si>
    <t>1음식</t>
  </si>
  <si>
    <t>1갈대</t>
  </si>
  <si>
    <t>1양</t>
  </si>
  <si>
    <t>나무 오두막</t>
  </si>
  <si>
    <t>진흙탕</t>
  </si>
  <si>
    <t>물통</t>
  </si>
  <si>
    <t>1흙</t>
  </si>
  <si>
    <t>목수 망치</t>
  </si>
  <si>
    <t>목수 도끼</t>
  </si>
  <si>
    <t>개간 쟁기</t>
  </si>
  <si>
    <t>바퀴 달린 쟁기</t>
  </si>
  <si>
    <t>2나무</t>
  </si>
  <si>
    <t>쌍방향 쟁기</t>
  </si>
  <si>
    <t>전보</t>
  </si>
  <si>
    <t>석재회사</t>
  </si>
  <si>
    <t>2흙1갈대</t>
  </si>
  <si>
    <t>유모차</t>
  </si>
  <si>
    <t>1나무 1갈대</t>
  </si>
  <si>
    <t>가마 자리</t>
  </si>
  <si>
    <t>산림 학교</t>
  </si>
  <si>
    <t>1나무 1흙</t>
  </si>
  <si>
    <t>선술집 의자</t>
  </si>
  <si>
    <t>정원 가위</t>
  </si>
  <si>
    <t>수영 교습</t>
  </si>
  <si>
    <t>파사드 조각</t>
  </si>
  <si>
    <t>틀톱</t>
  </si>
  <si>
    <t>양모 담요</t>
  </si>
  <si>
    <t>예배당</t>
  </si>
  <si>
    <t>도예가 안뜰</t>
  </si>
  <si>
    <t>안마당 거름</t>
  </si>
  <si>
    <t>소방용 호수</t>
  </si>
  <si>
    <t>발톱 칼</t>
  </si>
  <si>
    <t>덩굴용 격자 구조물</t>
  </si>
  <si>
    <t>목공 의자</t>
  </si>
  <si>
    <t>끌그물 보트</t>
  </si>
  <si>
    <t>흙파이프</t>
  </si>
  <si>
    <t>대출</t>
  </si>
  <si>
    <t>바구니</t>
  </si>
  <si>
    <t>착유실</t>
  </si>
  <si>
    <t>아스파라거스 수확용 칼</t>
  </si>
  <si>
    <t>감자 작판기</t>
  </si>
  <si>
    <t>동양식 화로</t>
  </si>
  <si>
    <t>화로 또는 화덕 1개 반납</t>
  </si>
  <si>
    <t>키</t>
  </si>
  <si>
    <t>작은 맥주통</t>
  </si>
  <si>
    <t>2돌 2나무</t>
  </si>
  <si>
    <t>보리 제분기</t>
  </si>
  <si>
    <t>1나무 4흙/1나무 2돌</t>
  </si>
  <si>
    <t>펠릿 종자</t>
  </si>
  <si>
    <t>먹이통</t>
  </si>
  <si>
    <t>아스파라거스 선물</t>
  </si>
  <si>
    <t>수송 장치</t>
  </si>
  <si>
    <t>농업용 비료</t>
  </si>
  <si>
    <t>외양간용 나무</t>
  </si>
  <si>
    <t>돌 집게</t>
  </si>
  <si>
    <t>임시 저장고</t>
  </si>
  <si>
    <t>재직 증명서</t>
  </si>
  <si>
    <t>생목초</t>
  </si>
  <si>
    <t xml:space="preserve">- 즉시 밭 1개를 일굽니다 (사용 시 왼쪽 플레이어에게 전달) </t>
  </si>
  <si>
    <t xml:space="preserve">- 손에서 직업 3개를 고른 뒤, 그중에서 1개를 무작위로 뽑습니다. 이렇게 뽑은 직업을 비용을 내지 않고 즉시 내려놓을 수 있습니다 (사용 시 왼쪽 플레이어에게 전달) </t>
  </si>
  <si>
    <t>- 즉시 내 집의 방 1개당 나무 1개씩을 가져옵니다. 만약 가족 말보다 방 개수가 더 많다면, 나무 1개를 추가로 가져옵니다 (사용 시 왼쪽 플레이어에게 전달) 
※ 방 3개 2명 기준으로 계산</t>
  </si>
  <si>
    <t>- 즉시 개인 창고에 있는 흙 2개마다 흙 1개씩을 가져옵니다. (사용 시 왼쪽 플레이어에게 전달) 
※ 흙 6개 기준으로 계산</t>
  </si>
  <si>
    <t>- 만약 주요 설비인 우물/가구 제작소/그릇 제작/바구니 제작소를 가지고 있다면, 즉시 돌/나무/흙/갈대 1개를 가져옵니다. (사용 시 왼쪽 플레이어에게 전달) 
※ 4개 중 2개 갖고 있다는 기준으로 계산</t>
  </si>
  <si>
    <t>- 즉시 곡식밭 1개당 음식 1개, 채소밭 1개당 곡식 1개를 가져옵니다. (사용 시 왼쪽 플레이어에게 전달) 
※ 채소밭 2개 기준으로 계산</t>
  </si>
  <si>
    <t>곡식 (채소)</t>
  </si>
  <si>
    <t xml:space="preserve">- [직업 2개와 설비 2개 필요] 즉시 곡식 1개와 채소 1개를 가져옵니다. (사용 시 왼쪽 플레이어에게 전달) </t>
  </si>
  <si>
    <t>- 즉시 소 1마리를 가져옵니다. (실질적으로 양 1마리를 소 1마리로 바꿉니다. 사용 시 왼쪽 플레이어게 전달)</t>
  </si>
  <si>
    <t>- [나무집에 살고 있다면] 이 카드는 '주요 설비' 행동을 통해서만 내려놓을 수 있습니다. 이 카드는 가족 말 1개를 위한 방을 제공합니다. 더 이상 집을 고칠 수 없습니다</t>
  </si>
  <si>
    <t>- 이 카드를 놓을 때, 즉시 멧돼지 1마리를 가져옵니다. 빈 밭 타일 1개마다 멧돼지를 1마리씩 키울 수 있습니다.</t>
  </si>
  <si>
    <t>돼지 (밭)</t>
  </si>
  <si>
    <t>- 우리(외양간이 있든 없든) 하나당 가축을 2마리씩 더 키울 수 있습니다</t>
  </si>
  <si>
    <t>가축 (외양간)</t>
  </si>
  <si>
    <t>- [방 2칸짜리 나무집에 살고 있다면] 이 카드를 놓을 때, 즉시 흙 3개를 가져옵니다. 그 후 즉시 비용을 내지 않고 집을 고칠 수 있습니다</t>
  </si>
  <si>
    <t>가늘 [나무집]</t>
  </si>
  <si>
    <t>집고치기/흙집[방2칸 나무집]</t>
  </si>
  <si>
    <t>곡식/채소 [직업/설비 각 2개]</t>
  </si>
  <si>
    <t>- 방을 한 번에 2개 이상 만들 때마다, 총 비용에서 갈대 2개를 할인받습니다. 그렇게 짓는 방이 나무집/흙집/돌집 방이라면 총 비용에서 추가로 나무 2개/흙 3개/돌 4개를 할인 받습니다.</t>
  </si>
  <si>
    <t>- 나무 누적 행동 칸을 이용할 때마다 그 직후에 나무를 7개 이상 갖고 있다면 즉시 나무 딱 1개를 내고 외양간 1개를 지을 수 있습니다.</t>
  </si>
  <si>
    <t>나무(외양간)</t>
  </si>
  <si>
    <t>울타리치기(흙)</t>
  </si>
  <si>
    <t>- 이 카드를 내려놓으면 즉시 흙 1개를 가져옵니다. 울타리를 칠 때 나무대신 흙을 낼 수 있습니다.
※ 흙 6개로 나무 대체한다고 가정</t>
  </si>
  <si>
    <t>- 가축 누적 행동 칸을 이용한 후, 이번 행동을 통해 가져온 가축을 모두 수용했다면 단 1번에 한해 즉시 밭 1개를 일굴 수 있습니다.</t>
  </si>
  <si>
    <t xml:space="preserve">- [직업 2개] 게임 중 한 번, 자신의 첫 가족 말을 '농지'나 '밭 농사' 행동 칸에 놓을 때 밭 2개를 추가로 일굴 수 있습니다. </t>
  </si>
  <si>
    <t>밭1 (가축)</t>
  </si>
  <si>
    <t>밭2 [직업 2개]</t>
  </si>
  <si>
    <t>- 현재 라운드에 5를 더한 라운드 칸에 밭 1개를 놓습니다. 해당 라운드가 시작될 때 이 밭을 일굴 수 있습니다</t>
  </si>
  <si>
    <t>밭1 (9R)</t>
  </si>
  <si>
    <t>- [3라운드(5라운드) 이내라면] 이 카드를 놓을 때, 즉시 밭을 2개까지 갈 수 있습니다. 4~5라운드에는 건설 비용으로 곡식 1개뿐만 아니라 음식 1개를 추가로 내야 합니다.</t>
  </si>
  <si>
    <t>- [직업 1개] 현재의 가족 말 수보다 더 많은 방이 있는 상태에서 추가로 '방 만들기' 행동을 할 때마다, '가족 늘리기' 행동과 음식 1개를 추가로 얻습니다</t>
  </si>
  <si>
    <t>가늘 [직업 1개]</t>
  </si>
  <si>
    <t>- [남은 울타리 1개 이상] 현재 라운드에 내 남은 울타리 개수를 더한 라운드 칸을 별도로 표시합니다. 해당 라운드에는 내 개인 창고에 있는 가족 말을 하나 사용할 수 있습니다.</t>
  </si>
  <si>
    <t>추가행동 [남은 울타리 1개이상]</t>
  </si>
  <si>
    <t>- '채석장' 누적 행동 칸을 이용할 때마다, 그 직후에 '주요 설비나 보조 설비' 행동을 할 수 있습니다. 단 이 행동으로 돌을 1개 이상 사용해야 합니다</t>
  </si>
  <si>
    <t>설비 (채석장 누적 행동 칸)</t>
  </si>
  <si>
    <t>- [직업 2개] '농지'나 '밭 농사' 행동 칸을 이용할 때, '빵 굽기' 행동을 추가로 할 수 있습니다</t>
  </si>
  <si>
    <t>- 매 라운드, 자신을 포함한 누군가가 처음으로 가족 말을 놓은 '자원이 누적되지 않는' 행동 칸을 표시하십시오. 그 칸에 가족 말이 1명만 놓여 있다면 그 칸을 이용할 수 있습니다. '회합 장소' 행동 칸 제외합니다</t>
  </si>
  <si>
    <t>음식엔진 (빵굽기)[직업 2개]</t>
  </si>
  <si>
    <t>밭 [~5R]</t>
  </si>
  <si>
    <t>- [곡식밭 2개] 다른 플레이어가 이미 가족 구성원을 놓았더라도 '가족 늘리기' 행동칸을 이용할 수 있습니다</t>
  </si>
  <si>
    <t>빠른 가늘 [곡식밭 2개]</t>
  </si>
  <si>
    <t>- [화로와 화덕 모두 소지] 이 카드를 놓을 때, 즉시 나무 2개를 가져오고, '흙가마'나 '돌가마' 주요 설비를 지을 수 있습니다. 둘 중 어느 것을 짓든 건설 비용은 흙 1개와 돌 1개입니다</t>
  </si>
  <si>
    <t>주요설비 [화로와 화덕 모두 소지]</t>
  </si>
  <si>
    <t>- '교습' 행동 칸은 항상 빈 것으로 간주합니다. 직업을 내려놓을 때 필요한 음식을 원하는 수만큼 나무로 대신 낼 수 있습니다</t>
  </si>
  <si>
    <t>- [직업 2개]</t>
  </si>
  <si>
    <t>점수 [직업 2개] (곡식)</t>
  </si>
  <si>
    <t>- [직업 2개] 매 라운드 집에 돌아오기 단계마다 1번씩, 곡식 1개를 내고 추가점수 1점을 받을 수 있습니다. 그 경우 다른 모든 플레이어들은 음식 1개를 가져갑니다</t>
  </si>
  <si>
    <t>- [곡식밭 없음] '빵 굽기' 행동을 할 때마다 1번씩, 이 카드를 사용해 곡식 1개를 내고 음식 2개와 추가점수 1점을 받을 수 있습니다</t>
  </si>
  <si>
    <t>음식엔진(1)/점수 [곡식밭 없음]</t>
  </si>
  <si>
    <t>- 점수를 계산할 때, 자기 앞에 놓인 주요 설비 1개당 추가점수 1점을 받을 수 있습니다. 하지만 이 추가점수는 자기 농장의 빈칸 개수까지만 받을 수 있습니다
※ 3개라는 기준으로 계산</t>
  </si>
  <si>
    <t>점수 (주요 설비)</t>
  </si>
  <si>
    <t>- 점수를 계산할 때, 우리가 차지하고 있는 칸이 6/7/8/10개 이상이면 추가점수 1/2/3/4점을 받습니다.</t>
  </si>
  <si>
    <t>- [직업 2개] 울타리를 칠 때마다 1번씩, 이 카드를 사용해 개인 창고의 울타리 1개와 나무 1개를 내고 음식 2개와 추가점수 1점을 받을 수 있습니다</t>
  </si>
  <si>
    <t>점수 [직업 2개]</t>
  </si>
  <si>
    <t>점수 [직업 2개](낚시)</t>
  </si>
  <si>
    <t>- [직업 2개] 매 라운드 집에 돌아오기 단계마다, '낚시' 누적 행동 칸에서 자신의 가족 말이 돌아왔다면, 이번 라운드에 집에 돌아온 '신생아'마다 추가점수를 2점씩 받습니다.
※ 음식 평균 3개 기준으로 계산</t>
  </si>
  <si>
    <t>- [소지한 나무 개수가 현재 라운드 숫자 이상] 이 카드를 놓을 때, 원하는 횟수만큼 음식 1개를 내고 추가점수 1점을 받을 수 있습니다. 하지만 이 추가점수는 지금까지 완료된 '수확 단계' 횟수까지만 받을 수 있습니다.</t>
  </si>
  <si>
    <t>- 집을 고칠 때마다 1번씩, 나무 1개를 추가로 내고 곡식 1개와 추가점수 1점을 받을 수 있습니다</t>
  </si>
  <si>
    <t>곡식/점수 (집고치기)</t>
  </si>
  <si>
    <t>[양 5마리]</t>
  </si>
  <si>
    <t>- [양 5마리] 점수를 계산할때, 나무집/흙집/돌집에 살고 있다면 추가점수 3/2/0점을 받습니다.</t>
  </si>
  <si>
    <t>흙집 [양 5마리]</t>
  </si>
  <si>
    <t>점수 (10R)
[소지한 나무 개수가 현재 라운드 숫자 이상]</t>
  </si>
  <si>
    <t>점수/곡식 [직업 2개]</t>
  </si>
  <si>
    <t>- [직업 2개] 예배당은 모두가 쓸 수 있는 행동 칸입니다. 예배당을 이용하는 플레이어는 추가점수 3점을 받습니다. 다른 플레이어가 예배당을 이용할 경우 예배당 주인에게 곡식 1개를 내야 합니다
※ 곡식 1개 받고 3회 들어가는 기준으로 계산</t>
  </si>
  <si>
    <t>- [농장에 빈칸 7칸 이하] 이 카드를 내려놓으면 즉시 내 농장 빈칸에 흙을 1개씩 놓습니다. 이후 빈칸을 채울 때마다, 그 칸에 놓인 흙을 가져옵니다. 또한 이렇게 가져온 흙을 즉시 음식 2개로 바꿀 수 있습니다</t>
  </si>
  <si>
    <t>급한음식/후반
[농장에 빈칸 7칸 이하]</t>
  </si>
  <si>
    <t>- 화로를 화덕으로 바꿀 때마다, 즉시 나무 2개와 채소 1개를 가져옵니다. 이 카드를 놓기 전에 화로를 화덕으로 바꾼 것은 보상을 받을 수 없습니다.</t>
  </si>
  <si>
    <t>- '낚시'/'숲' 누적 행동 칸을 이용할 때마다, 나무/음식 1개를 추가로 가져옵니다.</t>
  </si>
  <si>
    <t>- [가축 1마리] 한 차례에 외양간을 1개 이상 지을 때마다, 다음 라운드 칸 3개에 음식 1개씩을 놓습니다. 해당 라운드가 시작될 때마다, 이 음식을 가져옵니다.</t>
  </si>
  <si>
    <t>- [직업이 딱 2개라면] 다음 라운드 칸 3개에 음식 1개씩을 놓습니다. 해당 라운드가 시작될 때마다, 이 음식을 가져옵니다</t>
  </si>
  <si>
    <t>- [나무집에 살고 있다면] 더 이상 나무집에서 살지 않게 되면, 다음 라운드 칸 6개에 음식 1개씩을 놓습니다. 해당 라운드가 시작될 때마다, 이 음식을 가져옵니다.</t>
  </si>
  <si>
    <t>음식 [직업이 딱 2개라면]</t>
  </si>
  <si>
    <t>음식(외양간)
[가축 1마리]</t>
  </si>
  <si>
    <t>음식 (집고치기)
[나무집에 살고 있다면]</t>
  </si>
  <si>
    <t>- [우리 딱 1개] '양 시장' 누적 행동 칸을 이용할 때마다, 다음 라운드 칸 2개에 음식 1개씩을 놓습니다. 해당 라운드가 시작될 때마다, 이 음식을 가져옵니다</t>
  </si>
  <si>
    <t>음식(양)
[우리 딱 1개]</t>
  </si>
  <si>
    <t>음식(울타리)</t>
  </si>
  <si>
    <t>- 이 카드를 내려놓으면 즉시 지금까지 지은 울타리 개수를 셉니다. 그 개수만큼의 다음 라운드 칸에 음식 1개씩을 놓습니다. 해당 라운드가 시작될 때마다, 이 음식을 가져옵니다.
※ 울타리 6개라고 가정</t>
  </si>
  <si>
    <t>- 나무를 1개 이상 가져올 때마다, 그 직후에 나무를 5개 또는 6개 갖고 있다면 나무 1개를 음식 3개로 바꿀 수 있습니다. 만약 나무를 7개 이상 갖고 있다면 반드시 위 효과를 따라야 합니다</t>
  </si>
  <si>
    <t>음식엔진(3,나무)</t>
  </si>
  <si>
    <t>- [직업 1개] 매 라운드 준비 단계마다, 비어 있지 않은 '갈대밭' 누적 행동 칸에 갈대 1개가 놓이면, 음식 1개를 가져옵니다.
※ 6개 받아온다는 가정</t>
  </si>
  <si>
    <t>초반음식/음식
[직업 1개]</t>
  </si>
  <si>
    <t>-아무 플레이어 (이 카드를 낸 플레이어 포함)나 '소 시장' 누적 칸을 이용할 때, 음식 3개를 가져오고 다른 모든 플레이어들은 음식 1개를 가져갑니다</t>
  </si>
  <si>
    <t>음식엔진(3, 소)</t>
  </si>
  <si>
    <t>- '낚시' 누적 행동 칸을 이용할 때마다 음식 2개를 추가로 가져옵니다</t>
  </si>
  <si>
    <t>음식(낚시)</t>
  </si>
  <si>
    <t>- [7라운드부터 사용 가능] 나무 누적 행동 칸을 이용할 때마다, '돼지 시장' 누적 행동 칸에 돼지가 1마리 이상 있다면, 음식 2개를 추가로 가져옵니다</t>
  </si>
  <si>
    <t>음식(나무, 7R~)
[7라운드부터 사용 가능]</t>
  </si>
  <si>
    <t>- 매 라운드마다 이번 일하기 단계에서 건축 자원 7개 이상을 가져왔다면, 집에 돌아오기 단계에 음식 2개를 가져옵니다.</t>
  </si>
  <si>
    <t>음식(건축 자원 7개 이상 가져오기)</t>
  </si>
  <si>
    <t>[직업 3개 이하]</t>
  </si>
  <si>
    <t>급한음식
[직업 3개 이하]</t>
  </si>
  <si>
    <t>- [직업 3개 이하] 이 카드를 놓을 때, 즉시 음식 5개를 가져옵니다. 이후 '수확을 하지 않은 라운드'가 끝날 때마다 음식 1개를 내거나 구걸 토큰 1개를 가져와야 합니다.
※ 13R에 썼다고 가정하고 계산 (음식 5개 받고 2개 내기)</t>
  </si>
  <si>
    <t>- 앞으로 설비를 내려놓거나 지을 때마다(이 카드 포함) 음식 1개를 가져옵니다.</t>
  </si>
  <si>
    <t>음식 (설비)</t>
  </si>
  <si>
    <t>- 나무 누적 칸을 이용할 때, 나무 2개를 행동 칸에 남겨 놓고 대신 음식 3개를 가져올 수 있습니다</t>
  </si>
  <si>
    <t>- [농장에 빈칸 4칸 이상] 이 카드를 놓을 때, 양 1/3/4마리를 가지고 있으면 즉시 음식 2/3/4개를 가져옵니다. 또한 소 1/2/3마리를 가지고 있으면 즉시 음식 2/3/4개를 가져옵니다.
※ 양 4마리, 소 1마리 기준</t>
  </si>
  <si>
    <t>급한음식(양/소)
[농장에 빈칸 4칸 이상]</t>
  </si>
  <si>
    <t>음식/점수 (채소밭)</t>
  </si>
  <si>
    <t>- 8, 10, 12라운드의 집에 돌아오기 단계마다, 채소밭 딱 1곳에서 채소 1개를 가져올 수 있습니다. 또한 이렇게 가져온 채소를 즉시 음식 3개와 추가점수 1점으로 바꿀 수 있습니다
※ 3번 효과 발동했다고 가정</t>
  </si>
  <si>
    <t>음식엔진(3, 채소밭)</t>
  </si>
  <si>
    <t>- 채소를 1개 이상 수확할 때마다, 그 직후에 채소를 3개 갖고 있다면 채소 1개를 음식 6개로 바꿀 수 있습니다. 만약 채소를 4개 이상 갖고 있다면 반드시 위 효과를 따라야 합니다.
※ 2번 효과 발동했다고 가정</t>
  </si>
  <si>
    <t>음식엔진(양,채소,소)</t>
  </si>
  <si>
    <t>- (화로 또는 화덕 1개 반납) 아무 때나
채소 -&gt; 음식 4개 / 양 -&gt; 음식 3개 / 소 -&gt; 음식 5개
빵굽기 -&gt; 음식 2개
※ 아무거나 5번 구워 먹었다는 가정</t>
  </si>
  <si>
    <t>음식엔진 (빵굽기)
[빵굽기 설비 1개]</t>
  </si>
  <si>
    <t>- [빵굽기 설비 1개] 수확 중 농장 단계가 끝날 때마다, 그 직후에 빵굽기 설비를 1개 사용해 곡식 딱 1개를 음식으로 바꿀 수 있습니다. '빵 굽기' 행동을 한 것으로 간주하지 않습니다
※ 흙가마 4번 활용했다는 가정</t>
  </si>
  <si>
    <t>음식엔진(1, 곡식)
[소지한 곡식 2개]</t>
  </si>
  <si>
    <t>- [소지한 곡식 2개] 수확 중 가족 먹여살리기 단계마다, 이 카드를 사용해 곡식 1/2/3개를 내고 음식 딱 3개와 추가점수 0/1/2점을 받을 수 있습니다
※ 4번 활용했다는 가정</t>
  </si>
  <si>
    <t>음식엔진(1, 빵굽기)</t>
  </si>
  <si>
    <t>- 수확 중 농장 단계마다, 이번 수확 때 곡식을 가져온 곡식밭 1개당 음식 1개를 가져옵니다.
※ 5번 활용했다는 가정</t>
  </si>
  <si>
    <t>음식(곡식밭)</t>
  </si>
  <si>
    <t>[밭 3개]</t>
  </si>
  <si>
    <t>- [밭 3개] '조건 없는 씨뿌리기' 행동을 할 때마다, 그 직전에 곡식 1개를 가져옵니다</t>
  </si>
  <si>
    <t>곡식 [밭 3개]</t>
  </si>
  <si>
    <t>- 이미 키우고 있는 가축의 가축 누적 행동 칸을 이용할 때마다, 곡식 1개를 추가로 가져옵니다.</t>
  </si>
  <si>
    <t>곡식 (가축)</t>
  </si>
  <si>
    <t>- '곡식 종자' 행동 칸을 이용할 때, 곡식 1개를 추가로 가져옵니다</t>
  </si>
  <si>
    <t>곡식 (곡식종자)</t>
  </si>
  <si>
    <t>- [빈 밭 1개] 현재 라운드보다 같거나 많은 수의 울타리를 칠 때마다, 채소 1개를 가져옵니다.</t>
  </si>
  <si>
    <t>[빈 밭 1개]</t>
  </si>
  <si>
    <t>채소 [빈 밭 1개]</t>
  </si>
  <si>
    <t>- [직업 2개] 현재 라운드에 4, 7, 9를 더한 라운드 칸에 채소 1개씩을 놓습니다. 해당 라운드가 시작될 때마다 이 채소를 가져옵니다</t>
  </si>
  <si>
    <t>채소 (5R) [직업 2개]</t>
  </si>
  <si>
    <t>- 수확을 마친 다음 라운드(5, 8, 10, 12, 14)에 '빵 굽기' 행동을 할 때마다 음식 3개를 추가로 가져옵니다
※ 3번 활용했다는 가정</t>
  </si>
  <si>
    <t>- [밭 3개] '수확을 하지 않는 라운드'가 끝날 때마다, 채소밭에서 채소 1개를 가져와 개인 창고에 놓을 수 있습니다. 농장 단계를 한 것으로 간주하지 않습니다</t>
  </si>
  <si>
    <t>채소 (빠르게 수확) [밭 3개]</t>
  </si>
  <si>
    <t>- 아무 때나, 작물(곡식이나 채소)이 2개 이상인 밭에 있는 작물 1개를 빈 밭으로 옮길 수 있습니다</t>
  </si>
  <si>
    <t>곡식/채소 (빠르게 수확)</t>
  </si>
  <si>
    <t>[밭 타일 없음]</t>
  </si>
  <si>
    <t>- [밭 타일 없음] '채석장' 누적 행동 칸을 이용할 때마다, 한 종류의 작물만이 심어진 모든 밭에 각 작물을 1개씩 추가합니다
※ 곡식/채소 합쳐서 3개 불리는 기준으로 계산</t>
  </si>
  <si>
    <t>곡식/채소
[밭 타일 없음]</t>
  </si>
  <si>
    <t>- [우리 1개] 한 번의 행동을 통해 빈 농장 칸 2개 이상을 사용된 칸으로 바꿀 때마다, 그 직후에 추가로 '씨 뿌리기' 행동을 얻습니다</t>
  </si>
  <si>
    <t>[우리 1개]</t>
  </si>
  <si>
    <t>곡식/채소 [우리 1개]</t>
  </si>
  <si>
    <t>- 자신의 차례에 외양간을 1개 이상 지을 때마다, 다음 라운드 칸 3개에 나무 1개씩을 놓습니다. 해당 라운드가 시작될 때마다, 이 나무를 가져옵니다</t>
  </si>
  <si>
    <t>나무 [직업 3개 이하]</t>
  </si>
  <si>
    <t>- [직업 3개 이하] 모든 설비의 비용에서 나무 1개씩을 적게냅니다
※ 3번 활용했다는 기준으로 계산</t>
  </si>
  <si>
    <t>흙 (돼지 시장)</t>
  </si>
  <si>
    <t>- 이 카드를 놓을 때, 즉시 흙 1개를 가져옵니다. 자신을 포함한 누군가가 '돼지 시장' 누적 행동 칸을 이용할 때마다, 즉시 흙 2개를 가져옵니다
※ 4번 먹는 기준으로 계산</t>
  </si>
  <si>
    <t>- [직업 1개]</t>
  </si>
  <si>
    <t>[직업 1개]</t>
  </si>
  <si>
    <t>- [직업 1개] '낚시' 누적 칸을 이용할 때, 음식 1개와 갈대 1개를 추가로 가져옵니다</t>
  </si>
  <si>
    <t>가늘/초반음식 [직업 1개]</t>
  </si>
  <si>
    <t>- 매 라운드 일하기 단계가 시작할 때마다, 개인 창고에 흙이 1개 이상 있다면 곡식 딱 1개를 내고 흙 2개와 음식 1개를 가져올 수 있습니다</t>
  </si>
  <si>
    <t>흙/음식(곡식)</t>
  </si>
  <si>
    <t>- '조건 없는 씨 뿌리기' 행동을 통해 밭 1개 이상에 채소를 심을 때마다, 흙 1개와 돌 1개를 가져옵니다</t>
  </si>
  <si>
    <t>흙/돌 (채소 씨뿌리기)</t>
  </si>
  <si>
    <t>- 돌 누적 칸을 이용할 때, 돌 1개를 추가로 가져옵니다</t>
  </si>
  <si>
    <t>- 흙/갈대/돌 누적 행동 칸을 이용할 때마다 나무/흙/갈대 1개를 이 카드 위에 놓습니다. 7, 11, 14라운드가 시작될 때마다 이 카드 위에 놓인 자원을 모두 가져옵니다</t>
  </si>
  <si>
    <t>- [직업 3개] 행동 칸을 사용할 때마다, 그 직후에 건축 자원이 4개 이상 올려진 건축 자원 누적 행동 칸에서 건축 자원 1개를 가져올 수 있습니다</t>
  </si>
  <si>
    <t>건축자원 [직업 3개]</t>
  </si>
  <si>
    <t>- 4칸 이상을 차지하는 우리를 새로 만들 때마다, 양 2마리를 가져와 새 우리에 넣습니다</t>
  </si>
  <si>
    <t>양 (울타리치기)</t>
  </si>
  <si>
    <t>- [밭 2개] '수확을 하지 않는 라운드'의 집에 돌아오기 단계마다, 곡식 딱 1개를 내서 한 종류의 가축을 번식시킬 수 있습니다. 이때 곡식밭에 있는 곡식을 낼 수도 있습니다</t>
  </si>
  <si>
    <t>[밭 2개]</t>
  </si>
  <si>
    <t>돼지/소 (곡식) [밭 2개]</t>
  </si>
  <si>
    <t>울타리 점검</t>
  </si>
  <si>
    <t>필기판</t>
  </si>
  <si>
    <t>재건축</t>
  </si>
  <si>
    <t>양털 가위</t>
  </si>
  <si>
    <t>농사 비료</t>
  </si>
  <si>
    <t>자동 급수대</t>
  </si>
  <si>
    <t>이층 침대</t>
  </si>
  <si>
    <t>소 사육 농가</t>
  </si>
  <si>
    <t>나무 망치</t>
  </si>
  <si>
    <t>격자 울타리</t>
  </si>
  <si>
    <t>신규 경작지</t>
  </si>
  <si>
    <t>회전 쟁기</t>
  </si>
  <si>
    <t>두더지 쟁기</t>
  </si>
  <si>
    <t>사랑의 바위</t>
  </si>
  <si>
    <t>버들가지 의자</t>
  </si>
  <si>
    <t>직업 계약</t>
  </si>
  <si>
    <t>곡식밭의 침대</t>
  </si>
  <si>
    <t>맥주 테이블</t>
  </si>
  <si>
    <t>집필실</t>
  </si>
  <si>
    <t>폐쇄형 발코니 창</t>
  </si>
  <si>
    <t>녹지화 계획</t>
  </si>
  <si>
    <t>코끼리풀 공장</t>
  </si>
  <si>
    <t>흙 비축</t>
  </si>
  <si>
    <t>기독교</t>
  </si>
  <si>
    <t>선상 화실</t>
  </si>
  <si>
    <t>캔버스 자루</t>
  </si>
  <si>
    <t>농장 건물</t>
  </si>
  <si>
    <t>스튜</t>
  </si>
  <si>
    <t>채칼(A)</t>
  </si>
  <si>
    <t>정원 갈퀴</t>
  </si>
  <si>
    <t>농장 부지</t>
  </si>
  <si>
    <t>맥주 가판대</t>
  </si>
  <si>
    <t>외양간 뜰</t>
  </si>
  <si>
    <t>사냥꾼의 모자</t>
  </si>
  <si>
    <t>세발항아리</t>
  </si>
  <si>
    <t>시장 가판대</t>
  </si>
  <si>
    <t>화실</t>
  </si>
  <si>
    <t>생야채 샐러드</t>
  </si>
  <si>
    <t>나무공예</t>
  </si>
  <si>
    <t>그릇 제작자의 작은 가마</t>
  </si>
  <si>
    <t>맥주잔</t>
  </si>
  <si>
    <t>화덕 확장</t>
  </si>
  <si>
    <t>맥주 양조장</t>
  </si>
  <si>
    <t>옥수수 슈납스 증류기</t>
  </si>
  <si>
    <t>지속적 호밀 경작법</t>
  </si>
  <si>
    <t>무기물 사료통</t>
  </si>
  <si>
    <t>농경지 정리</t>
  </si>
  <si>
    <t>똥거름 살포기</t>
  </si>
  <si>
    <t>수확 축제 계획</t>
  </si>
  <si>
    <t>해초 비료</t>
  </si>
  <si>
    <t>장작</t>
  </si>
  <si>
    <t>암석 지대</t>
  </si>
  <si>
    <t>자재 중심지</t>
  </si>
  <si>
    <t>어린 소</t>
  </si>
  <si>
    <t>다년생 호밀</t>
  </si>
  <si>
    <t>[직업 2개]</t>
  </si>
  <si>
    <t>[정확히 밭 타일 3개]</t>
  </si>
  <si>
    <t>- [직업 없음]</t>
  </si>
  <si>
    <t>[직업 없음]</t>
  </si>
  <si>
    <t>[곡식밭 1개]</t>
  </si>
  <si>
    <t>[양이 딱 1마리라면]</t>
  </si>
  <si>
    <t>- [화로 설비]</t>
  </si>
  <si>
    <t>[화로 설비]</t>
  </si>
  <si>
    <t>- [흙가마 또는 돌가마 반납]</t>
  </si>
  <si>
    <t>[흙가마 또는 돌가마 반납]</t>
  </si>
  <si>
    <t>[직업 3개]</t>
  </si>
  <si>
    <t>- [개인 창고에 1갈대와 1돌]</t>
  </si>
  <si>
    <t>[개인 창고에 1갈대와 1돌]</t>
  </si>
  <si>
    <t xml:space="preserve">- [직업 2개] 즉시 농장의 울타리를 모두 철거하고, 철거한 울타리에 개인 창고의 울타리를 최대 3개까지 추가하여 다시 울타리를 칩니다. (사용 시 왼쪽 플레이어에게 전달) </t>
  </si>
  <si>
    <t>울타리치기 [직업 2개]</t>
  </si>
  <si>
    <t>- 즉시 당신 앞에 놓여 있는 직업 카드 1장당 나무 1개씩을 가져옵니다. (사용 시 왼쪽 플레이어에게 전달) 
※ 직업 4장 기준으로 계산</t>
  </si>
  <si>
    <t>나무 (직업)</t>
  </si>
  <si>
    <t>-즉시 당신이 갖고 있는 주요 설비와 흙집 방 개수만큼 흙을 가져옵니다. (사용 시 왼쪽 플레이어에게 전달) 
※ 주요 설비와 흙집 방 개수 5개 기준으로 계산</t>
  </si>
  <si>
    <t>흙 (흙방/주요설비)</t>
  </si>
  <si>
    <t>- [우리 1개] 즉시 음식 3개를 가져오거나, 당신이 갖고 있는 양 1마리당 음식 1개씩을 가져옵니다. (사용 시 왼쪽 플레이어에게 전달)
※ 음식 3개 기준으로 계산</t>
  </si>
  <si>
    <t>급한 음식 [우리 1개]</t>
  </si>
  <si>
    <t>- 딱 1개의 물건이 심어져 있는 밭마다, 같은 종류의 물건 1개씩을 추가로 놓을 수 있습니다 (사용 시 왼쪽 플레이어에게 전달) 
※ 2개 기준으로 계산</t>
  </si>
  <si>
    <t>곡식/채소 (곡식밭/채소밭)</t>
  </si>
  <si>
    <t xml:space="preserve">- 가축을 수용할 수 있는 공간이 있다면, 즉시 음식 0/1/2개를 내고 양/멧돼지/소 1마리를 구매할 수 있습니다 (사용 시 왼쪽 플레이어에게 전달) </t>
  </si>
  <si>
    <t>가축 (음식)</t>
  </si>
  <si>
    <t>- [주요설비 2개] 게임 중 한 번이라도 내 집에 방이 4개가 된다면, 앞으로 당신의 집에서 가족 구성원 5명이 거주할 수 있습니다.</t>
  </si>
  <si>
    <t>급한 가늘 [주요설비 2개]</t>
  </si>
  <si>
    <t>- 이 카드 위에서, 당신의 우리 개수만큼의 소를 키울 수 있습니다</t>
  </si>
  <si>
    <t>우리 (소)</t>
  </si>
  <si>
    <t>우리, 음식엔진(1)</t>
  </si>
  <si>
    <t>울타리치기(외양간), 음식엔진(1)</t>
  </si>
  <si>
    <t>- 당신이 처음으로 집을 고칠 때, 나무집 방을 5개 이상 갖고 있다면, 바로 돌집으로 고칠 수 있습니다. 이 때 돌 2개를 적게 냅니다</t>
  </si>
  <si>
    <t>- [직업 2개] '돼지 시장' 누적 칸을 이용하기 전에 '울타리 치기' 행동을 할 수 있습니다. (울타리를 치는 비용은 정상적으로 내야 합니다)</t>
  </si>
  <si>
    <t>울타리치기(돼지) [직업 2개]</t>
  </si>
  <si>
    <t>- [정확히 밭 타일 3개] 이 카드를 내려놓으면, 즉시 밭 1개를 일굴 수 있습니다. 이때, 다른 밭과 인접하지 않아도 됩니다</t>
  </si>
  <si>
    <t>밭 [정확히 밭 타일 3개]</t>
  </si>
  <si>
    <t>- 물건이 심어진 밭을 3개이상 갖고 있다면 언제든지, 그 밭 중 하나에 있는 모든 물건을 버리고, 밭 1개를 일굴 수 있습니다</t>
  </si>
  <si>
    <t>밭(물건3개밭)</t>
  </si>
  <si>
    <t>- [9라운드 이후] '농지' 행동 칸이나 '밭 농사' 행동칸을 이용할 때, 추가로 밭 1개를 일굴 수 있습니다</t>
  </si>
  <si>
    <t>밭 [9라운드 이후]</t>
  </si>
  <si>
    <t>- '채석장' 누적 칸이 공개될 때마다, 집에 빈 방이 있다면 즉시 (가족 구성원을 해당 행동 칸에 놓지 않고) '가족늘리기' 행동을 합니다</t>
  </si>
  <si>
    <t>- 이 카드를 내려놓을 때, 이번 일하기 단계에서 당신이 맨 처음으로 놓은 가족 구성원을 이 카드 위에 옮겨 놓을 수 있스니다. 그렇게 한다면, 이어서 다음 가족 구성원을 놓을 수 있씁니다.</t>
  </si>
  <si>
    <t>선턴/추가행동</t>
  </si>
  <si>
    <t>- [직업 없음] '날품팔이'와 거기에 인접한 '교습' 행동 칸이 둘 다 비어 있는 동안, 두 행동 칸 사이에 가족 구성원 1명을 놓고 두 행동 칸을 모두 이용할 수 있습니다. ('날품팔이' 행동 칸을 먼저 이용합니다.) 그런 뒤, 두 행동 칸은 모두 가족 구성원이 놓여있는 것으로 간주합니다</t>
  </si>
  <si>
    <t>교습 [직업 없음]</t>
  </si>
  <si>
    <t>- [곡식밭 1개] 다음 수확을 시작할 때, 빈 방이 있다면 '가족 늘리기' 행동을 합니다</t>
  </si>
  <si>
    <t>빠른 가늘 [곡식밭 1개]</t>
  </si>
  <si>
    <t>- [직업 1개] '주요 설비'나 '집 개조' 행동 칸을 이용할때, 직업 비용으로 음식 1개를 내고 직업 1개를 내려놓을 수 있습니다</t>
  </si>
  <si>
    <t>교습(설비/집 개조) [직업 1개]</t>
  </si>
  <si>
    <t>- [개인 창고에 곡식 없음] 매 수확의 농장 단계가 끝날 때마다, 곡식 1개를 내고 추가점수 2점을 받을 수 있습니다. 그렇게 한다면, 다른 모든 플레이어들은 음식 1개를 가져갑니다</t>
  </si>
  <si>
    <t>4음식</t>
  </si>
  <si>
    <t>3음식</t>
  </si>
  <si>
    <t>1흙 1갈대</t>
  </si>
  <si>
    <t>1외양간(개인창고)</t>
  </si>
  <si>
    <t>2나무 1흙</t>
  </si>
  <si>
    <t>1나무 2흙</t>
  </si>
  <si>
    <t xml:space="preserve"> 1흙</t>
  </si>
  <si>
    <t>[흙가마 또는 돌가마 반납] 2흙</t>
  </si>
  <si>
    <t>[직업/설비 각 2개] 1갈대</t>
  </si>
  <si>
    <t>[나무집] 2나무 1갈대</t>
  </si>
  <si>
    <t>[방2칸 나무집] 4나무</t>
  </si>
  <si>
    <t>[직업 2개] 2나무</t>
  </si>
  <si>
    <t>[~5R] 1곡식(+1음식)</t>
  </si>
  <si>
    <t>[직업 2개] 1나무</t>
  </si>
  <si>
    <t>[남은 울타리 1개이상] 2음식</t>
  </si>
  <si>
    <t>[곡식밭 2개] 1나무</t>
  </si>
  <si>
    <t xml:space="preserve"> [화로와 화덕 모두 소지]</t>
  </si>
  <si>
    <t>[곡식밭 없음]</t>
  </si>
  <si>
    <t>[직업 2개] 1음식</t>
  </si>
  <si>
    <t>[소지한 나무 개수가 현재 라운드 숫자 이상]
2흙</t>
  </si>
  <si>
    <t>[직업 2개] 3나무 2흙</t>
  </si>
  <si>
    <t>[농장에 빈칸 7칸 이하]
1나무 1갈대</t>
  </si>
  <si>
    <t>[가축 1마리]</t>
  </si>
  <si>
    <t>[직업이 딱 2개라면] 1나무</t>
  </si>
  <si>
    <t>[나무집에 살고 있다면] 1음식</t>
  </si>
  <si>
    <t>[우리 딱 1개] 1나무</t>
  </si>
  <si>
    <t>[직업 1개] 1음식</t>
  </si>
  <si>
    <t>[7라운드부터 사용 가능] 1나무</t>
  </si>
  <si>
    <t>[농장에 빈칸 4칸 이상] 2나무</t>
  </si>
  <si>
    <t>[빵굽기 설비 1개] 1갈대</t>
  </si>
  <si>
    <t>[소지한 곡식 2개] 1나무</t>
  </si>
  <si>
    <t>[밭 3개] 1나무</t>
  </si>
  <si>
    <t>[직업 3개 이하] 2돌</t>
  </si>
  <si>
    <t>[직업 1개] 2나무</t>
  </si>
  <si>
    <t>[직업 3개] 1음식</t>
  </si>
  <si>
    <t>[우리 1개] 1나무</t>
  </si>
  <si>
    <t>[주요설비 2개] 1나무</t>
  </si>
  <si>
    <t>[9라운드 이후] 3나무 1음식</t>
  </si>
  <si>
    <t>[직업 1개] 1나무</t>
  </si>
  <si>
    <t>[개인 창고에 곡식 없음] 2나무</t>
  </si>
  <si>
    <t>[내용 참조] 2흙</t>
  </si>
  <si>
    <t>[직업 2개] 2흙 1돌</t>
  </si>
  <si>
    <t>[직업 1개] 2음식</t>
  </si>
  <si>
    <t>[직업 없음] 1곡식or1갈대</t>
  </si>
  <si>
    <t>[화로 설비] 1갈대</t>
  </si>
  <si>
    <t>[직업 3개] 3나무</t>
  </si>
  <si>
    <t>[개인 창고에 1갈대와 1돌] 1나무 1흙</t>
  </si>
  <si>
    <t>점수(곡식)[개인 창고에 곡식 없음]</t>
  </si>
  <si>
    <t>점수(감점)</t>
  </si>
  <si>
    <t>- 점수를 계산할 때, 감점만큼의 추가 점수를 받습니다. 이 추가점수는 최대 7점까지 받을 수 있습니다
※ 5점 받는다는 가정 하에 계산</t>
  </si>
  <si>
    <t>- [내용 참조] (당신을 포함하여) 누구든 자기 앞에 5장의 카드를 놓았다면, 당신은 더 이상 이 카드를 내려놓을 수 없습니다.</t>
  </si>
  <si>
    <t>점수 [내용 참조]</t>
  </si>
  <si>
    <t>- 점수를 계산할 때, 아무것도 심어지지 않은 밭이 2/4/5/6개 이상이라면, 추가점수 1/2/3/5점을 받습니다.
※ 6개 기준으로 계산</t>
  </si>
  <si>
    <t>점수 (빈 밭)</t>
  </si>
  <si>
    <t>- [직업 2개] 매 수확이 끝날 때마다 한 번씩, 이 카드를 이용하여 갈대 1개를 추가점수 1점으로 바꿀 수 있습니다</t>
  </si>
  <si>
    <t>생활방식 고급화</t>
  </si>
  <si>
    <t>작은 우리</t>
  </si>
  <si>
    <t>밀주</t>
  </si>
  <si>
    <t>장작더미</t>
  </si>
  <si>
    <t>경험의 간직</t>
  </si>
  <si>
    <t>채석장 나들이</t>
  </si>
  <si>
    <t>임금</t>
  </si>
  <si>
    <t>노점</t>
  </si>
  <si>
    <t>회초리</t>
  </si>
  <si>
    <t>가축 사육장</t>
  </si>
  <si>
    <t>가축 수용소</t>
  </si>
  <si>
    <t>목수의 객실</t>
  </si>
  <si>
    <t>관측탑</t>
  </si>
  <si>
    <t>목수의 작업대</t>
  </si>
  <si>
    <t>채굴 망치</t>
  </si>
  <si>
    <t>숲 쟁기</t>
  </si>
  <si>
    <t>초원 써레</t>
  </si>
  <si>
    <t>이중날 쟁기</t>
  </si>
  <si>
    <t>사슬 갈퀴</t>
  </si>
  <si>
    <t>건초 다락 헛간</t>
  </si>
  <si>
    <t>워킹화</t>
  </si>
  <si>
    <t>마지막 시나리오</t>
  </si>
  <si>
    <t>올가미 밧줄</t>
  </si>
  <si>
    <t>빵삽</t>
  </si>
  <si>
    <t>농지 울타리</t>
  </si>
  <si>
    <t>공구 상자</t>
  </si>
  <si>
    <t>삼림 관리 연구</t>
  </si>
  <si>
    <t>요리 교습</t>
  </si>
  <si>
    <t>나무 방책</t>
  </si>
  <si>
    <t>그릇 제조장</t>
  </si>
  <si>
    <t>주전자</t>
  </si>
  <si>
    <t>벽난로 선반</t>
  </si>
  <si>
    <t>특별한 음식</t>
  </si>
  <si>
    <t>갈고리 칼</t>
  </si>
  <si>
    <t>병</t>
  </si>
  <si>
    <t>우수 농가 인증</t>
  </si>
  <si>
    <t>건설 예정지</t>
  </si>
  <si>
    <t>베틀</t>
  </si>
  <si>
    <t>양조장 연못</t>
  </si>
  <si>
    <t>독일식 삼림 개간</t>
  </si>
  <si>
    <t>숲속 여관</t>
  </si>
  <si>
    <t>싸구려 음식점</t>
  </si>
  <si>
    <t>병아리 외양간</t>
  </si>
  <si>
    <t>딸기포</t>
  </si>
  <si>
    <t>클럽 하우스</t>
  </si>
  <si>
    <t>청어 냄비</t>
  </si>
  <si>
    <t>숲속 바위</t>
  </si>
  <si>
    <t>저울</t>
  </si>
  <si>
    <t>버터 제조기</t>
  </si>
  <si>
    <t>땅 파는 삽</t>
  </si>
  <si>
    <t>성장하는 농장</t>
  </si>
  <si>
    <t>조각가 과정</t>
  </si>
  <si>
    <t>거름 수레</t>
  </si>
  <si>
    <t>유지 보험료</t>
  </si>
  <si>
    <t>개울</t>
  </si>
  <si>
    <t>부엌방</t>
  </si>
  <si>
    <t>잡초 베는 칼</t>
  </si>
  <si>
    <t>음식 상자</t>
  </si>
  <si>
    <t>양조용 물</t>
  </si>
  <si>
    <t>삼포식 농법</t>
  </si>
  <si>
    <t>쇠스랑</t>
  </si>
  <si>
    <t>시식</t>
  </si>
  <si>
    <t>물레방아 바퀴</t>
  </si>
  <si>
    <t>곡식창고</t>
  </si>
  <si>
    <t>손수레</t>
  </si>
  <si>
    <t>소형 운반차</t>
  </si>
  <si>
    <t>콩밭</t>
  </si>
  <si>
    <t>그릇 시장</t>
  </si>
  <si>
    <t>신규 구매</t>
  </si>
  <si>
    <t>수확 창고</t>
  </si>
  <si>
    <t>농업에 대한 애정</t>
  </si>
  <si>
    <t>선물 바구니</t>
  </si>
  <si>
    <t>울창한 숲</t>
  </si>
  <si>
    <t>나무 작업장</t>
  </si>
  <si>
    <t>천장</t>
  </si>
  <si>
    <t>양토 채굴장</t>
  </si>
  <si>
    <t>갈대 지대</t>
  </si>
  <si>
    <t>석탄 운반용 바구니</t>
  </si>
  <si>
    <t>경질 자기</t>
  </si>
  <si>
    <t>수레</t>
  </si>
  <si>
    <t>가치 자산</t>
  </si>
  <si>
    <t>진흙 웅덩이</t>
  </si>
  <si>
    <t>도토리 바구니</t>
  </si>
  <si>
    <t>[가족 구성원 4명 이하]</t>
  </si>
  <si>
    <t>[13라운드 이전]</t>
  </si>
  <si>
    <t>[그릇 제작소 또는 그릇 제작소가 개선된 설비]</t>
  </si>
  <si>
    <t>[가축 없음]</t>
  </si>
  <si>
    <t>[밭 타일 6개 및 모든 종류 가축]</t>
  </si>
  <si>
    <t>[4라운드 이전]</t>
  </si>
  <si>
    <t>[직업 3개]</t>
  </si>
  <si>
    <t>[당신의 가족말이 '낚시' 행동 칸을 차지함]</t>
  </si>
  <si>
    <t>[개인 창고에 흙 5개]</t>
  </si>
  <si>
    <t>[직업 1개] 2음식</t>
  </si>
  <si>
    <t>[7라운드 이전] 2흙</t>
  </si>
  <si>
    <t>[직업 2개, 개인 창고에 건축 자원 1개] 2나무</t>
  </si>
  <si>
    <t>[직업 1개] 2나무</t>
  </si>
  <si>
    <t>3나무</t>
  </si>
  <si>
    <t>2음식</t>
  </si>
  <si>
    <t>-</t>
  </si>
  <si>
    <t>1곡식</t>
  </si>
  <si>
    <t>1흙 1곡식</t>
  </si>
  <si>
    <t>1나무 1돌</t>
  </si>
  <si>
    <t>1나무</t>
  </si>
  <si>
    <t>[직업 1개] 3나무</t>
  </si>
  <si>
    <t>1갈대</t>
  </si>
  <si>
    <t>1음식</t>
  </si>
  <si>
    <t>[곡식밭 1개] 1흙</t>
  </si>
  <si>
    <t>[흙집이나 돌집] 1돌</t>
  </si>
  <si>
    <t>3흙 3음식</t>
  </si>
  <si>
    <t>[직업 2개] 2나무</t>
  </si>
  <si>
    <t>[직업 3개] 3음식</t>
  </si>
  <si>
    <t>[6라운드 이전] 1흙 1갈대</t>
  </si>
  <si>
    <t>[채소밭 2개] 1나무</t>
  </si>
  <si>
    <t>3나무 / 2흙</t>
  </si>
  <si>
    <t>2나무 / 2흙</t>
  </si>
  <si>
    <t>1나무 / 1흙</t>
  </si>
  <si>
    <t>1흙</t>
  </si>
  <si>
    <t>[직업 1개] 2나무 / 1돌</t>
  </si>
  <si>
    <t>[직업 없음] 1나무</t>
  </si>
  <si>
    <t>[직업 3개 이하] 1나무</t>
  </si>
  <si>
    <t>[7라운드 이후] 1나무</t>
  </si>
  <si>
    <t>1나무 1흙</t>
  </si>
  <si>
    <t>2나무</t>
  </si>
  <si>
    <t>2나무 / 2흙 / 2돌</t>
  </si>
  <si>
    <t>[직업 2개] 1음식</t>
  </si>
  <si>
    <t>1나무 1흙 1갈대</t>
  </si>
  <si>
    <t>[직업 3개] 1갈대</t>
  </si>
  <si>
    <t>[직업 1개] 1흙</t>
  </si>
  <si>
    <t>[직업 3개] 1음식</t>
  </si>
  <si>
    <t>2흙</t>
  </si>
  <si>
    <t>갈지자형 써레</t>
  </si>
  <si>
    <t>주택 건축 도면</t>
  </si>
  <si>
    <t>이랑</t>
  </si>
  <si>
    <t>밭 점토</t>
  </si>
  <si>
    <t>나무 화석</t>
  </si>
  <si>
    <t>고사리 종자</t>
  </si>
  <si>
    <t>잔디용 비료</t>
  </si>
  <si>
    <t>흙손</t>
  </si>
  <si>
    <t>분쇄 망치</t>
  </si>
  <si>
    <t>목재 유장 양동이</t>
  </si>
  <si>
    <t>파종용 써레</t>
  </si>
  <si>
    <t>증기력 쟁기</t>
  </si>
  <si>
    <t>분쇄용 쟁기</t>
  </si>
  <si>
    <t>모집</t>
  </si>
  <si>
    <t>취업 허가</t>
  </si>
  <si>
    <t>개척 혼</t>
  </si>
  <si>
    <t>형제의 우애</t>
  </si>
  <si>
    <t>마녀의 무도장</t>
  </si>
  <si>
    <t>목수의 마당</t>
  </si>
  <si>
    <t>재훈련</t>
  </si>
  <si>
    <t>장인 구역</t>
  </si>
  <si>
    <t>저장고</t>
  </si>
  <si>
    <t>나무 갈퀴</t>
  </si>
  <si>
    <t>여름 별장</t>
  </si>
  <si>
    <t>호화로운 호스텔</t>
  </si>
  <si>
    <t>사료실</t>
  </si>
  <si>
    <t>혈통 기록서</t>
  </si>
  <si>
    <t>오물 구덩이</t>
  </si>
  <si>
    <t>숲의 우물</t>
  </si>
  <si>
    <t>펠릿 제조기</t>
  </si>
  <si>
    <t>교회 묘지</t>
  </si>
  <si>
    <t>도시 세트장</t>
  </si>
  <si>
    <t>아치형 입구</t>
  </si>
  <si>
    <t>밀방망이</t>
  </si>
  <si>
    <t>찻집</t>
  </si>
  <si>
    <t>송어 연못</t>
  </si>
  <si>
    <t>새로운 상점가</t>
  </si>
  <si>
    <t>도축용 갈고리</t>
  </si>
  <si>
    <t>도매시장</t>
  </si>
  <si>
    <t>모래 살포기</t>
  </si>
  <si>
    <t>땅속 가마</t>
  </si>
  <si>
    <t>대규모 그릇 제작소</t>
  </si>
  <si>
    <t>맥주 잠금 꼭지</t>
  </si>
  <si>
    <t>구릉 경작지</t>
  </si>
  <si>
    <t>제빵 수업</t>
  </si>
  <si>
    <t>곡식 체</t>
  </si>
  <si>
    <t>추수용 낫</t>
  </si>
  <si>
    <t>작은 바구니</t>
  </si>
  <si>
    <t>짚 거름</t>
  </si>
  <si>
    <t>돌려짓기</t>
  </si>
  <si>
    <t>외양간 거름</t>
  </si>
  <si>
    <t>왕실의 목재</t>
  </si>
  <si>
    <t>사회적 혜택</t>
  </si>
  <si>
    <t>재활용 벽돌</t>
  </si>
  <si>
    <t>벽돌 망치</t>
  </si>
  <si>
    <t>사냥 전리품</t>
  </si>
  <si>
    <t>지붕 사다리</t>
  </si>
  <si>
    <t>꿀꿀이죽</t>
  </si>
  <si>
    <t>지푸라기 더미</t>
  </si>
  <si>
    <t xml:space="preserve">- [직업 1개] </t>
  </si>
  <si>
    <t xml:space="preserve">- 즉시 흙 5개를 가져오고, '집 고치기' 행동을 할 수 있습니다 </t>
  </si>
  <si>
    <t>본인</t>
  </si>
  <si>
    <t>중반</t>
  </si>
  <si>
    <t>- 즉시 1칸짜리 우리가 생기도록 울타리를 칩니다. (나무를 낼 필요는 없습니다)</t>
  </si>
  <si>
    <t>울타리치기</t>
  </si>
  <si>
    <t>- 손에서 직업 1장을 무작위로 뽑습니다. 이렇게 뽑은 직업을 직업 비용으로 음식 2개를 내고 내려놓거나, 왼쪽 플레이어에게 넘깁니다.</t>
  </si>
  <si>
    <t>후반</t>
  </si>
  <si>
    <t>교습</t>
  </si>
  <si>
    <t>나무</t>
  </si>
  <si>
    <t>- 즉시 누적 칸에 있는 당신의 가족 구성원 수와 같은 개수의 나무를 가져옵니다.
※ 나무 3개 가져오는 기준</t>
  </si>
  <si>
    <t>- 손에 직업 카드가 0~4/5/6/7장이 있다면, 즉시 돌/갈대/흙/나무 1개를 가져옵니다</t>
  </si>
  <si>
    <t>초반</t>
  </si>
  <si>
    <t>돌/갈대</t>
  </si>
  <si>
    <t>- [직업 1개] 즉시 당신의 가족 구성원 수와 같은 개수의 돌을 가져옵니다
※ 돌 4개 가져오는 기준</t>
  </si>
  <si>
    <t>돌 [직업 1개]</t>
  </si>
  <si>
    <t>음식 (아랫줄 주요 설비)</t>
  </si>
  <si>
    <t>- 즉시 음식 2개를 가져오고, 가지고 있는 주요 설비 중 주요 설비판의 아랫줄에서 가져온 주요 설비 1개마다 음식 1개씩을 추가로 가져옵니다.
※ 음식 4개 가져오는 기준</t>
  </si>
  <si>
    <t>- 즉시 채소 1개를 가져옵니다. (실질적으로, 곡식 1개를 채소 1개로 바꿉니다)</t>
  </si>
  <si>
    <t>채소 (곡식)</t>
  </si>
  <si>
    <t>- 즉시 갈대 1개를 가져오거나 갈대 1개를 소 1마리로 바꿀 수 있습니다</t>
  </si>
  <si>
    <t>초반/후반</t>
  </si>
  <si>
    <t>갈대/소</t>
  </si>
  <si>
    <t>우리 (가축)</t>
  </si>
  <si>
    <t>- 이 카드 위에서 당신의 우리 개수만큼의 가축을 키울 수 있습니다. 서로 다른 가축을 키워도 됩니다. 매 수확의 번식 단계가 끝난 후에, 이 카드에서 사용하지 않은 공간 1개마다 음식 1개씩을 가져옵니다
※ 음식 4개 가져오는 기준</t>
  </si>
  <si>
    <t>우리 (가축)/음식엔진 (1,양)</t>
  </si>
  <si>
    <t>- 이 카드 위에서 같은 종류의 가축을 3마리까지 키울 수 있습니다. (이 카드는 우리로 간주하지 않습니다)
※ 양 3마리 음식 6개로 굽는 기준</t>
  </si>
  <si>
    <t>- 나무집에 방을 만들 때 방 1개당 나무 2개, 갈대 2개만 냅니다</t>
  </si>
  <si>
    <t>가늘</t>
  </si>
  <si>
    <t>- [7라운드 이전] 12라운드 칸에 돌집 방 1개를 놓습니다. 해당 라운드가 시작될 때 돌집에 살고 있다면, 이 돌집 방을 가져와 비용 없이 지을 수 있습니다. 그렇지 않다면, 이 돌집 방을 버립니다</t>
  </si>
  <si>
    <t>돌집/늦은 가늘 [7라운드 이전]</t>
  </si>
  <si>
    <t>- 나무 누적 칸을 이용할 때마다 그 후에 즉시, 지금 가져간 나무만을 사용하여 새로운 우리 딱 1개를 지을 수 있습니다. 이때, 사용한 울타리 중 1개는 무료입니다</t>
  </si>
  <si>
    <t>울타리치기 (나무)</t>
  </si>
  <si>
    <t>- 이 카드를 내려놓으면 즉시 음식 1개를 가져옵니다. 집을 고칠 때, 나무를 내지 않고 외양간 1개를 지을 수 있습니다</t>
  </si>
  <si>
    <t>외양간 (집고치기)</t>
  </si>
  <si>
    <t>- 나무 누적 칸을 이용할 때마다 나무 2개를 내고 밭 1개를 일굴 수 있습니다(이 칸에서 얻은 나무도 낼 수 있습니다). 이렇게 낸 나무 2개는 그 누적 칸에 놓습니다. (다음 방문자가 가져갑니다)</t>
  </si>
  <si>
    <t>밭 (나무)</t>
  </si>
  <si>
    <t>- [직업 2개, 개인 창고에 건축 자원 1개] 현재 라운드 수에 개인 창고에 있는 건축 자원 개수를 더한 라운드 칸에 밭 1개를 놓습니다. 해당 라운드가 시작될 때  이 밭을 일굴 수 있습니다</t>
  </si>
  <si>
    <t>밭
[직업 2개, 개인 창고에 건축 자원 1개]</t>
  </si>
  <si>
    <t>- [직업 1개] 밭 2개를 이 카드 위에 놓습니다. 게임 중 2번, '농지' 행동 칸을 이용할 때, 이 카드에 있는 밭 1개를 추가로 일굴 수 있습니다</t>
  </si>
  <si>
    <t>밭 [직업 1개]</t>
  </si>
  <si>
    <t>- 현재 라운드에 7, 8, 9를 더한 라운드 칸에 밭 1개씩을 놓습니다. 해당 라운드가 시작될 때마다 이 밭을 일굴 수 있습니다</t>
  </si>
  <si>
    <t>밭 (~5R)</t>
  </si>
  <si>
    <t>- [직업 1개] 음식 4개를 이 카드 위에 놓습니다. 곡식을 1개 이상 얻을 때마다 이 카드 위에 있는 음식 1개를 가져옵니다. 이 카드의 음식이 모두 없어지면 '빈 방이 없어도 가족 늘리기' 행동을 할 수 있습니다</t>
  </si>
  <si>
    <t>빠른 가늘/초반음식 [직업 1개]</t>
  </si>
  <si>
    <t>- [가족 구성원 4명 이하] 즉시 음식 2개를 가져옵니다. 즉시 개인 창고에서 가족 구성원 1명을 가져와 원하는 곳에 놓고 행동합니다. 다음 집에 돌아오기 단계에 이 가족 구성원을 게임에서 제거합니다(이번 게임에서 더 이상 사용할 수 없습니다)</t>
  </si>
  <si>
    <t>추가행동
[가족 구성원 4명 이하]</t>
  </si>
  <si>
    <t>- [13라운드 이전] 14라운드에 놓을 행동 칸 카드를 당신 앞에 앞면으로 놓습니다. 이 행동 칸 카드를 게임진행판에 놓기 전까지, 당신만 이용할 수 있습니다</t>
  </si>
  <si>
    <t>울타리치기 (집고치기)
[13라운드 이전]</t>
  </si>
  <si>
    <t>- '양 시장'이나 '돼지 시장', '소 시장' 누적 칸을 이용할 경우, 즉시 다음 가족 구성원을 놓을 수 있습니다. 단 가족 구성원 2명까지만 연속해서 놓을 수 있습니다</t>
  </si>
  <si>
    <t>선턴 (가축)</t>
  </si>
  <si>
    <t>- 이 카드를 내려놓으면 즉시 음식 1개를 가져옵니다. 직업 1개를 놓을 때마다, '빵 굽기' 행동을 추가로 할 수 있습니다</t>
  </si>
  <si>
    <t>음식엔진 (빵굽기, 교습)</t>
  </si>
  <si>
    <t>- '곡식 활용' 행동 칸을 이용할 때, 이 칸에서 이용할 수 있는 2가지 행동 중 하나 대신에 '울타리 치기' 행동을 할 수 있습니다</t>
  </si>
  <si>
    <t>울타리치기 (곡식 활용)</t>
  </si>
  <si>
    <t>- 일하기 단계에 방, 외양간 또는 울타리를 1개 이상 짓고 차례를 끝낼 때마다, '가구 제작소', '그릇 제작소', 또는 '바구니 제작소' 주요 설비 1개를 지을 수 있습니다</t>
  </si>
  <si>
    <t>제작소 설비 (방, 외양간, 울타리)</t>
  </si>
  <si>
    <t>- '숲' 누적 칸을 이용할 때마다, 그 후에 나무 2개를 그 칸에 돌려놓고 직업 비용 없이 직업 1개를 놓을 수 있습니다</t>
  </si>
  <si>
    <t>교습 (나무)</t>
  </si>
  <si>
    <t>점수 (교습&amp;화로)</t>
  </si>
  <si>
    <t>- '교습' 행동 칸과 화로 계열 설비를 같은 차례에 이용할 때마다 추가점수 1점을 받습니다</t>
  </si>
  <si>
    <t>- 농장 가장자리에 울타리를 칠 때, 울타리 대신, 개인 창고에서 나무 2개를 가져와 놓을 수 있습니다. 이 나무 2개로 이루어진 울타리 1개당 추가점수 1점씩을 받습니다</t>
  </si>
  <si>
    <t>점수 (나무&amp;울타리치기)</t>
  </si>
  <si>
    <t>- [그릇 제작소 또는 그릇 제작소가 개선된 설비] 점수를 계산할 때, 농장에 사용하지 않은 빈칸 2개 이상이 인접해 있다면, 추가점수 2점을 받습니다. (여전히 사용하지 않은 빈칸으로 인한 감점은 받습니다)</t>
  </si>
  <si>
    <t>울타리치기
[그릇 제작소 또는 그릇 제작소가 개선된 설비]</t>
  </si>
  <si>
    <t>- [곡식밭 1개] 아무 때나, 곡식 1/3/5개를 음식 3/4/5개와 추가점수 0/1/2점으로 바꿀 수 있습니다</t>
  </si>
  <si>
    <t>음식엔진 (1, 곡식) [곡식밭 1개]</t>
  </si>
  <si>
    <t>- [흙집이나 돌집] 이 카드를 내려놓으면 즉시 남은 라운드당 추가점수 1점씩을 받습니다. 더 이상 집을 고칠 수 없습니다
※ 6라운드에 썼다고 가정</t>
  </si>
  <si>
    <t>점수 [흙집이나 돌집]</t>
  </si>
  <si>
    <t>- [가축 없음] 이 카드를 놓은 후 바로 다음 한 번, 누적 칸에서 가축을 가져와 농장에 모두 수용할 때, 그렇게 가져온 가축 1마리마다 추가점수 1점씩을 받습니다</t>
  </si>
  <si>
    <t>- 게임 중 한 번, 게임 인원이 1/2/3/4/5/6 명일 때, 당신이 농장에 양 9/8/7/6/5/5 마리를 갖게 되면, 즉시 추가점수 2점을 받습니다</t>
  </si>
  <si>
    <t>점수 [가축 없음]</t>
  </si>
  <si>
    <t>점수 (양)</t>
  </si>
  <si>
    <t>- 이 카드를 내려놓기 위해선 가족 구성원 1명당 흙 1개씩과 음식 1개씩을 내야합니다
※ 가족 구성원 3명이라는 가정 하에 계산</t>
  </si>
  <si>
    <t>점수</t>
  </si>
  <si>
    <t>- [밭 타일 6개 및 모든 종류 가축] 이 카드를 내려놓으면, 즉시 음식 1개를 받습니다</t>
  </si>
  <si>
    <t>점수 [밭 타일 6개 및 모든 종류 가축]</t>
  </si>
  <si>
    <t>- [4라운드 이전] 다른 농장 칸이 모두 사용될 때까지, 집에 인접한 사용되지 않은 빈칸을 사용할 수 없습니다.</t>
  </si>
  <si>
    <t>점수 [4라운드 이전]</t>
  </si>
  <si>
    <t>음식엔진(1, 양) [직업 2개]</t>
  </si>
  <si>
    <t>- [직업 2개] 수확 중 농장 단계에서, 양 1/4/7마리를 가지고 있으면 음식 1/2/3개를 가져옵니다. 점수를 계산할 때, 양 3마리당 추가점수 1점씩을 받습니다
※ 음식 7개 받고, 점수 2점 받는 기준으로 계산</t>
  </si>
  <si>
    <t>- [직업 2개] '낚시' 또는 '갈대밭' 누적 칸을 이용할 때, 추가로 곡식 1개와 나무 1개를 가져옵니다</t>
  </si>
  <si>
    <t>가늘/곡식 [직업 2개]</t>
  </si>
  <si>
    <t>- [직업 3개] 다음 라운드 칸 4개에 나무 2개와 멧돼지 1마리를 번갈아 놓습니다. 무엇을 먼저 놓을지는 당신이 정합니다. 해당 라운드가 시작될 때마다 해당되는 물건들을 가져옵니다</t>
  </si>
  <si>
    <t>나무/돼지 [직업 3개]</t>
  </si>
  <si>
    <t>- [6라운드 이전] 이 카드는 모든 플레이어가 쓸 수 있는 행동 칸입니다. 이 행동 칸을 이용하는 플레이어는 나무 5/7/9개를 나무 8개와 음식 2/4/7개로 바꿀 수 있습니다. 다른 플레이어가 이 행동 칸을 이용할 경우 이 카드의 주인에게 음식 1개를 먼저 내야합니다</t>
  </si>
  <si>
    <t>음식</t>
  </si>
  <si>
    <t>음식엔진/나무 [6라운드 이전]</t>
  </si>
  <si>
    <t>- '곡식/채소 종자' 행동 칸을 이용할 때, 다음 라운드 칸 3/2개에 음식 1개씩을 놓습니다. 해당 라운드가 시작될 때마다 이 음식을 가져옵니다</t>
  </si>
  <si>
    <t>음식 (곡식/채소)</t>
  </si>
  <si>
    <t>- 현재 라운드에 3, 4를 더한 라운드 칸에 각각 음식 2개씩을 놓습니다. 해당 라운드가 시작될 때마다 이 음식을 가져옵니다</t>
  </si>
  <si>
    <t>초반/중반</t>
  </si>
  <si>
    <t>- [채소밭 2개] 다음 라운드 칸 3개에 음식 1개씩을 놓습니다. 해당 라운드가 시작될 때마다 이 음식을 가져옵니다</t>
  </si>
  <si>
    <t>음식 [채소밭 2개]</t>
  </si>
  <si>
    <t>- 다음 라운드 칸 4개에 음식 1개씩을 놓고, 그 다음 라운드 칸에 돌 1개를 놓습니다. 해당 라운드가 시작될 때마다 해당하는 물건을 가져옵니다</t>
  </si>
  <si>
    <t>음식/초반음식 (~10R)</t>
  </si>
  <si>
    <t>음식 (~9R)</t>
  </si>
  <si>
    <t>- 낚시 누적칸을 이용할 때, 다음 라운드 칸 3개에 음식 1개씩을 놓습니다. 해당 라운드가 시작될 때마다 이 음식을 가져옵니다</t>
  </si>
  <si>
    <t>음식엔진 (1,낚시)</t>
  </si>
  <si>
    <t>- [직업 1개] 음식 2개를 이 카드 위에 놓습니다. 나무 누적 칸을 이용할 때마다 이 카드 위에 있는 음식 1개를 가져옵니다. 돌 누적 칸을 이용할 때마다 이 카드 위에 음식 2개를 추가로 놓습니다.</t>
  </si>
  <si>
    <t>음식엔진 (1, 나무) [직업 1개]</t>
  </si>
  <si>
    <t>- [직업 없음] 설비나 직업을 당신 앞에 놓은 후에, 당신의 설비와 직업의 숫자가 같다면 음식 2개를 가져옵니다</t>
  </si>
  <si>
    <t>음식엔진 (1) [직업 없음]</t>
  </si>
  <si>
    <t>음식엔진 (1, 양/소) [직업 3개 이하]</t>
  </si>
  <si>
    <t>- [직업 3개 이하] 수확 중 농장 단계에서, 양 3마리당 음식 1개씩, 소 2마리당 음식 1개씩을 가져옵니다
※ 음식 6개 가져오는 기준으로 계산</t>
  </si>
  <si>
    <t>- [7라운드 이후] 흙 누적 칸을 이용할 때마다, 당신이 가진 멧돼지와 같은  개수의 음식을 가져옵니다
※ 음식 3개 가져오는 기준으로 계산</t>
  </si>
  <si>
    <t>음식 (돼지) [7라운드 이후]</t>
  </si>
  <si>
    <t>- [내용 참조] 이 카드는 우리가 차지하고 있는 칸의 개수가 완료한 라운드 수 이상일 때만 내려놓을 수 있습니다. 현재 라운드 수만큼 음식을 가져옵니다
※ 9R에 쓰는 기준으로 계산</t>
  </si>
  <si>
    <t>[우리가 차지하고 있는 칸의 개수가 완료 라운드 수 이상]
2흙 1갈대</t>
  </si>
  <si>
    <t>급한음식 (우리)
[우리가 차지하고 있는 칸의 개수가 완료 라운드 수 이상]</t>
  </si>
  <si>
    <t>음식엔진 (2, 돌)</t>
  </si>
  <si>
    <t>- 수확을 하지 않는 라운드가 끝날 때, 이 카드를 이용하여 나무 1개를 음식 2개로 바꾸거나 돌 1개를 음식 4개로 바꿀 수 있습니다
※ 6번 쓰는 기준으로 계산</t>
  </si>
  <si>
    <t>- 이 카드를 내려놓으면 즉시 음식 2개를 가져옵니다. 조건 없는 '씨 뿌리기' 행동을 할 때마다 그 후에, 당신이 가진 외양간 개수만큼 음식을 가져옵니다
※ 외양간 2개 기준으로 계산</t>
  </si>
  <si>
    <t>음식 (1, 외양간&amp;씨뿌리기)</t>
  </si>
  <si>
    <t>- [직업 2개] 이 카드 위에 음식 3개를 놓습니다. 나무 누적 칸을 이용할 때마다, 이 카드에서 음식 1개를 가져옵니다. 집을 고칠 때마다, 이 카드에 음식이 3개가 되도록 음식을 놓습니다</t>
  </si>
  <si>
    <t>음식엔진 (1, 나무) [직업 2개]</t>
  </si>
  <si>
    <t>- [당신의 가족말이 '낚시' 행동 칸을 차지함] '낚시' 누적 칸의 위에 있는 행동 칸 넷 중 하나를 이용할 때, 음식 1개를 추가로 가져옵니다</t>
  </si>
  <si>
    <t>음식 (건축자원)
[당신의 가족말이 '낚시' 행동 칸을 차지함]</t>
  </si>
  <si>
    <t>음식엔진 (1)/초반음식</t>
  </si>
  <si>
    <t>- 매 라운드가 시작될 때, 나무집에 살고 있다면 음식 1개를 가져옵니다
※ 음식 7개 받는 기준으로 계산</t>
  </si>
  <si>
    <t>음식엔진(1, 채소밭)</t>
  </si>
  <si>
    <t>- 이 카드를 내려놓으면, 즉시 음식 1개를 가져옵니다. 수확 중 농장 단계에서, 밭에서 가져온 채소 1개마다 음식 1개를 추가로 가져옵니다
※ 음식 4개받는 기준으로 계산</t>
  </si>
  <si>
    <t>- 이 카드를 '주요 설비' 행동 칸을 이용하여 내려놓으면, 즉시 음식 4개를 가져옵니다. 그렇지 않다면 음식 2개를 가져옵니다</t>
  </si>
  <si>
    <t>급한음식(2)</t>
  </si>
  <si>
    <t>- '낚시' 누적 칸을 이용할 때, 곡식 1개를 내고 다음 라운드 칸 6개에 음식 1개씩을 놓을 수 있습니다. 해당 라운드가 시작될 때마다 이 음식을 가져옵니다</t>
  </si>
  <si>
    <t>음식엔진 (1, 낚시/곡식)</t>
  </si>
  <si>
    <t>- [직업 3개] 수확 중 농장 단계가 시작될 때, 곡식밭 1개 이상, 채소밭 1개 이상 빈 밭 1개 이상을 가지고 있다면 음식 3개를 가져옵니다
※ 음식 6개받는 기준으로 계산</t>
  </si>
  <si>
    <t>음식엔진 (1, 곡식/채소) [직업 3개]</t>
  </si>
  <si>
    <t>- '곡식 종자' 행동 칸을 이용할 때, '농지' 칸에 가족 구성원(누구의 가족이든 상관없이)이 놓여있다면 음식 3개를 추가로 가져옵니다</t>
  </si>
  <si>
    <t>모두</t>
  </si>
  <si>
    <t>음식 (곡식)</t>
  </si>
  <si>
    <t>- '교습' 행동 칸을 이용할 때, 직업 비용을 내기 전에 곡식 1개를 음식 4개로 바꿀 수 있습니다</t>
  </si>
  <si>
    <t>음식 (곡식/교습)</t>
  </si>
  <si>
    <t>- '곡식 활용' 행동 칸을 이용할 때, '낚시' 누적 칸에 가족 구성원(누구의 가족이든 상관없이)이 놓여있다면 음식 2개를 추가로 가져옵니다</t>
  </si>
  <si>
    <t>음식 (낚시&amp;교습)</t>
  </si>
  <si>
    <t>- 이 카드의 비용으로 나무/흙/돌을 냈다면, 다음 라운드 칸 2/3/4개에 곡식 1개씩을 놓습니다. 해당 라운드가 시작될 때마다 이 곡식을 가져옵니다.</t>
  </si>
  <si>
    <t>곡식 (~11R)</t>
  </si>
  <si>
    <t>- [직업 2개] 5, 8, 11, 14라운드 칸에 곡식 1개씩을 놓습니다. 해당 라운드가 시작될 때마다 이 곡식을 가져옵니다</t>
  </si>
  <si>
    <t>곡식(~7R) [직업 2개]</t>
  </si>
  <si>
    <t>- '빵 굽기' 행동을 할 때마다 그 전에, 누적 칸에 놓여있는 당신의 가족 구성원마다 곡식 1개씩을 가져옵니다</t>
  </si>
  <si>
    <t>음식엔진/곡식 (빵 굽기)</t>
  </si>
  <si>
    <t>- [직업 2개] 이 카드는 채소만 심을 수 있는 밭으로 기능을 합니다</t>
  </si>
  <si>
    <t>채소 [직업 2개]</t>
  </si>
  <si>
    <t>- 아무 때나, 흙 3개와 음식 2개를 내고 다음 라운드 칸 2개에 채소 1개씩을 놓을 수 있습니다. 해당 라운드가 시작될 때마다 이 채소를 가져옵니다</t>
  </si>
  <si>
    <t>채소 (흙/음식)</t>
  </si>
  <si>
    <t>- 수확을 하는 라운드(4, 7, 9, 11, 13, 14)가 시작하기 전에, 다음 작물을 각각 1번씩 구매할 수 있습니다</t>
  </si>
  <si>
    <t>곡식 (~9R, 음식)</t>
  </si>
  <si>
    <t>- 이 카드를 내려놓을 때, 완료한 수확의 횟수가 당신이 내려놓은 직업의 개수와 같다면, 즉시 음식 1개와 곡식 1개, 채소 1개를 가져옵니다</t>
  </si>
  <si>
    <t>초중반</t>
  </si>
  <si>
    <t>음식/곡식/채소
[완료한 수확 횟수와 직업 개수 동일]</t>
  </si>
  <si>
    <t>곡식/채소</t>
  </si>
  <si>
    <t>- 1칸이나 2칸짜리 우리에 씨를 1개 뿌릴 수 있습니다. 그렇게 한다면 이 우리는 동시에 밭으로 간주하고, 1칸당 키울 수 있는 가축의 수가 1마리씩 줄어듭니다.</t>
  </si>
  <si>
    <t>곡식/채소 (우리)</t>
  </si>
  <si>
    <t>- [직업 3개] 이 카드를 내려놓을 때, 방이 2/3/4/5개 있다면, 즉시 채소/음식/곡식/채소를 가져옵니다</t>
  </si>
  <si>
    <t>곡식 [직업 3개]</t>
  </si>
  <si>
    <t>나무 [개인 창고에 흙 5개]</t>
  </si>
  <si>
    <t>- [개인 창고에 흙 5개] 남은 모든 짝수 라운드 칸에 나무 1개씩을 놓습니다. 해당 라운드가 시작될 때마다 이 나무를 가져옵니다
※ 6R부터 받는다고 가정</t>
  </si>
  <si>
    <t>- [직업 1개] 설비를 내려놓거나 지을 때마다, 비용을 내기 전에 나무 1개를 가져옵니다</t>
  </si>
  <si>
    <t>나무 [직업 1개]</t>
  </si>
  <si>
    <t>- [직업 1개] 다음 라운드 칸 5개에 나무 1개씩을 놓습니다. 해당 라운드가 시작될 때마다 이 나무를 가져옵니다. 집을 고치면, 이 카드로 라운드 칸에 놓은 나무를 모두 제거합니다.</t>
  </si>
  <si>
    <t>가늘 [직업 1개]</t>
  </si>
  <si>
    <t>- [직업 3개] '날품팔이' 행동 칸을 이용할 때, 흙 3개를 추가로 가져옵니다</t>
  </si>
  <si>
    <t>흙집/흙 [직업 3개]</t>
  </si>
  <si>
    <t>- 5, 8, 10, 12 라운드 칸 중, 아직 시작하지 않은 칸에 갈대 1개씩을 놓습니다. 해당 라운드가 시작될 때마다 이 갈대를 가져옵니다</t>
  </si>
  <si>
    <t>갈대 (~4R)</t>
  </si>
  <si>
    <t>돌</t>
  </si>
  <si>
    <t>- 아무 플레이어(이 카드를 낸 플레이어 포함)나 누적 칸에서 돌을 3개 이상 가져가면, 당신은 돌 1개를 공동 창고에서 가져옵니다
※ 3개 가져온다는 가정하에 계산</t>
  </si>
  <si>
    <t>- 아무 때나, 흙 2/3/4개를 돌 1/2/3개로 바꿀 수 있습니다
※ 돌 6개 바꾼다는 가정하에 계산</t>
  </si>
  <si>
    <t>돌 (흙)</t>
  </si>
  <si>
    <t>- 매 일하기 단계를 시작하기 전에, 같은 종류의 건축 자원이 적어도 6/5/4/4개 있는 나무/흙/갈대/돌 누적칸 중 하나에서 건축 자원 1개를 가져올 수 있습니다</t>
  </si>
  <si>
    <t>건축자원</t>
  </si>
  <si>
    <t>- 매 수확을 마치고 나서 한 번씩, 다음 건축 자원 중 1개를 구매할 수 있습니다. 
1음식→1나무 / 2음식→1갈대 / 1음식→1흙 / 2음식→1돌</t>
  </si>
  <si>
    <t>- 이 카드 위에 멧돼지 1마리, 음식 1개, 소 1마리, 음식 1개, 양 1마리를 밑에서부터 순서대로 쌓습니다. 아무 떄나, 맨 위에 있는 물건을 흙 1개를 내고 가져올 수 있습니다</t>
  </si>
  <si>
    <t>가축 (흙)</t>
  </si>
  <si>
    <t>- [직업 3개] 다음 라운드 칸 2개에 멧돼지 1마리씩을 놓습니다. 해당 라운드가 시작될 때마다 이 멧돼지를 가져옵니다.</t>
  </si>
  <si>
    <t>돼지 [직업 3개]</t>
  </si>
  <si>
    <t>1나무 1음식</t>
  </si>
  <si>
    <t>1나무 1갈대</t>
  </si>
  <si>
    <t>1나무 2돌</t>
  </si>
  <si>
    <t>1나무 2흙</t>
  </si>
  <si>
    <t>3돌 3곡식</t>
  </si>
  <si>
    <t>[L자 모양으로 높인 밭 3개] 1나무</t>
  </si>
  <si>
    <t>[물건이 심어진 밭 1개] 1음식</t>
  </si>
  <si>
    <t>[물건이 심어진 밭 2개와 빈 밭 1개]</t>
  </si>
  <si>
    <t>[직업 1개]</t>
  </si>
  <si>
    <t>[집에 남아있는 가족 구성원이 없다면] 1음식</t>
  </si>
  <si>
    <t>[개인 창고에 건축 자원 1개] 1음식</t>
  </si>
  <si>
    <t>[보조 설비로만 내리기]</t>
  </si>
  <si>
    <t>[직업 1개] 1음식</t>
  </si>
  <si>
    <t>[직업 3개] 1돌</t>
  </si>
  <si>
    <t>[나무집에 살고 있다면] 3나무 1돌</t>
  </si>
  <si>
    <t>[양 없음]</t>
  </si>
  <si>
    <t>[직업 1개와 밭 2개]</t>
  </si>
  <si>
    <t>[직업 2개] 1돌 1음식</t>
  </si>
  <si>
    <t>[직업 2개] 2흙</t>
  </si>
  <si>
    <t>[당신의 앞에 놓은 카드 10장] 1돌 1갈대</t>
  </si>
  <si>
    <t>[화로 반납]</t>
  </si>
  <si>
    <t>[직업 1개 이하]</t>
  </si>
  <si>
    <t>밭 [L자 모양으로 높인 밭 3개]</t>
  </si>
  <si>
    <t>흙 [물건이 심어진 밭 1개]</t>
  </si>
  <si>
    <t>돌(나무) [직업 2개]</t>
  </si>
  <si>
    <t>곡식/음식
[물건이 심어진 밭 2개와 빈 밭 1개]</t>
  </si>
  <si>
    <t>- 1칸짜리 우리에서, 한 종류의 가축을 3마리까지 키울 수 있습니다. (그 우리에 외양간이 있으면, 한 종류의 가축을 6마리까지 키울 수 있습니다.)</t>
  </si>
  <si>
    <t xml:space="preserve">- 즉시 비용을 내지 않고 외양간을 1개 짓습니다. 단, 1칸짜리 우리에만 외양간을 지을 수 있습니다 (사용 시 왼쪽 플레이어에게 전달) </t>
  </si>
  <si>
    <t xml:space="preserve">- [L자 모양으로 높인 밭 3개] 즉시 아래 그림과 같이 '지그재그' 패턴이 되도록 밭 1개를 일굴 수 있습니다. (패턴을 돌리거나 뒤집을 수 있습니다.  사용 시 왼쪽 플레이어에게 전달) </t>
  </si>
  <si>
    <t xml:space="preserve">- [물건이 심어진 밭 2개와 빈 밭 1개] 음식 2개와 곡식 1개를 가져옵니다. 가져온 곡식으로 즉시 빈 밭에 씨를 뿌려야 합니다. (사용 시 왼쪽 플레이어에게 전달) </t>
  </si>
  <si>
    <t xml:space="preserve">- [직업 2개] 즉시 나무를 3개까지 돌로 바꿀 수 있습니다. (사용 시 왼쪽 플레이어에게 전달) </t>
  </si>
  <si>
    <t>- [물건이 심어진 밭 1개] 즉시 물건이 심어진 당신의 밭의 개수만큼 흙을 가져옵니다 (사용 시 왼쪽 플레이어에게 전달) 
※ 3개 가져오는 기준으로 계산</t>
  </si>
  <si>
    <t xml:space="preserve">- 밭 1개에 즉시 씨를 뿌릴 수 있습니다 (사용 시 왼쪽 플레이어에게 전달) </t>
  </si>
  <si>
    <t xml:space="preserve">- 즉시 '집 고치기' 행동을 할 수 있습니다 (사용 시 왼쪽 플레이어에게 전달) </t>
  </si>
  <si>
    <t>우리</t>
  </si>
  <si>
    <t>- 아무 때나, 돌집으로 집을 고칠 수 있습니다. 나무집에서 돌집으로 고칠 때는 비용으로 방 1개당 돌 1개, 갈대 1개, 음식 1개씩을 냅니다. 흙집에서 돌집으로 고칠 때는 비용으로 방 1개당 돌 1개씩을 냅니다</t>
  </si>
  <si>
    <t>돌집</t>
  </si>
  <si>
    <t>- 돌집으로 집을 고치기 직전에, 흙 2개와 갈대 1개를 가져오고 '방 만들기' 행동을 할 수 있습니다</t>
  </si>
  <si>
    <t>흙방 (집고치기)</t>
  </si>
  <si>
    <t>- '양 시장' / '소 시장' 누적 칸을 이용할 때마다 한 번씩, 그 전에 나무 1개를 내고/비용 없이 외양간 1개를 지을 수 있습니다</t>
  </si>
  <si>
    <t>외양간 (양/소)</t>
  </si>
  <si>
    <t>- 조건 없는 '씨 뿌리기' 행동을 할 때마다 그 전에, 음식 3개를 내고 밭 1개를 일굴 수 있습니다</t>
  </si>
  <si>
    <t>밭 (씨뿌리기)</t>
  </si>
  <si>
    <t>- 매 집에 돌아오기 단계 직후에, 나무 2개와 음식 1개를 내고 '농지' 행동 칸을 이용할 수 있습니다. 이때, 가족 구성원을 놓지 않습니다</t>
  </si>
  <si>
    <t>밭 (나무/음식)</t>
  </si>
  <si>
    <t>- [직업 1개] 흙 누적 칸을 이용할 때마다 그 후에, 즉시 흙 1개를 내고 밭 1개를 일굴 수 있습니다. 그렇게 한다면, 이렇게 낸 흙은 누적 칸에 놓습니다</t>
  </si>
  <si>
    <t>밭 (흙) [직업 1개]</t>
  </si>
  <si>
    <t>- [집에 남아있는 가족 구성원이 없다면] 집에 빈 방이 있다면, '보조 설비 내리기' 행동을 할 때마다, '가족 늘리기' 행동을 대신 할 수 있습니다</t>
  </si>
  <si>
    <t>빠른 가늘
[집에 남아있는 가족 구성원이 없다면]</t>
  </si>
  <si>
    <t>- [개인 창고에 건축 자원 1개] 현재 라운드에 당신이 갖고 있는 건축 자원 개수만큼을 더한 라운드 칸에, 개인 창고의 가족 구성원 1명을 가져와 놓습니다. 해당 라운드에 그 가족 구성원을 사용할 수 있습니다. 집에 돌아오기 단계에, 해당 가족 구성원은 개인 창고에 놓습니다</t>
  </si>
  <si>
    <t>추가행동
[개인 창고에 건축 자원 1개]</t>
  </si>
  <si>
    <t>- 이 카드는 당신만 이용할 수 있는 행동 칸입니다. 3~5라운드에는 '집 고치기' 행동을 할 수 있는 행동 칸이 됩니다. 6~8라운드에는 채소 1개나 멧돼지 1마리, 또는 소1마리를 가져올 수 있는 행동 칸이 됩니다</t>
  </si>
  <si>
    <t>집고치기 (흙집)</t>
  </si>
  <si>
    <t>집 고치기</t>
  </si>
  <si>
    <t>집 고치기/소</t>
  </si>
  <si>
    <t>- 정확히 4명의 가족 구성원을 갖고 있다면, 일하기 단계에 3번째와 4번째 가족 구성원을 연달아 놓을 수 있고, 같은 행동 칸에 놓을 수 있습니다</t>
  </si>
  <si>
    <t>선턴</t>
  </si>
  <si>
    <t>- [보조 설비로만 내리기] 이 카드는 씨를 뿌릴 수 있는 밭이면서, 직업이면서, 아무 능력이 없는 '화로' 주요 설비인 것으로 간주합니다. 이 카드는 '보조 설비 내리기' 행동으로만 내려놓을 수 있습니다</t>
  </si>
  <si>
    <t>특수 [보조 설비로만 내리기]</t>
  </si>
  <si>
    <t>- '가구 제작소'나 '우물' 주요 설비를 '보조 설비 내리기' 행동으로 지을 수 있습니다. 또는 한 번의 '주요 설비 짓기' 행동으로 '가구 제작소'와 '우물'을 둘 다 지을 수 있습니다</t>
  </si>
  <si>
    <t>주요 설비 (보조 설비 내리기)</t>
  </si>
  <si>
    <t>- [직업 1개] 집을 고친 차례를 끝낼 때마다, 당신의 '가구 제작소'를 '그릇 제작소'로 바꾸거나, '그릇 제작소'를 바구니 제작소'로 바꿀 수 있습니다.</t>
  </si>
  <si>
    <t>- [직업 3개] 점수를 계산할 때, 가지고 있는 주요 설비 중 주요 설비판의 아랫줄에서 가져온 주요 설비가 3/4/5개라면 추가점수 2/5/8점을 받습니다
※ 추가점수 2점 기준으로 계산</t>
  </si>
  <si>
    <t>제작소 설비 [직업 1개]</t>
  </si>
  <si>
    <t>점수 (아랫줄 설비) [직업 3개]</t>
  </si>
  <si>
    <t>- 점수를 계산할 때, (개인 창고와 밭에 있는 모든 작물을 합쳐) 곡식 1개와 채소 1개로 이루어진 한 쌍마다 추가점수 0.5점씩을 받습니다. 이 카드의 점수를 합산한 후 소수점 이하는 올림합니다.
※ 곡식/채소 추가점수 2점으로 계산</t>
  </si>
  <si>
    <t>점수 (곡식/채소)</t>
  </si>
  <si>
    <t>- 마지막 수확을 하기 직전에 밭에 있는 물건이 7개 이상이라면, 점수를 계산할 때 추가점수 2점을 받습니다</t>
  </si>
  <si>
    <t>점수 (밭)</t>
  </si>
  <si>
    <t>점수(돌집) [나무집에 살고 있다면]</t>
  </si>
  <si>
    <t>- [나무집에 살고 있다면] 점수를 계산할 때 당신이 돌집에 살고 있다면, 집에 인접한 사용하지 않은 농장 칸 1개마다 추가점수 2점씩을 받습니다. (여전히 사용하지 않은 빈칸으로 인한 감점을 받습니다)
※ 4점 다 받는 기준으로 계산</t>
  </si>
  <si>
    <t>- 점수를 계산할 때, 가족 구성원 수보다 돌집 방이 더 많다면, 추가점수 4점을 받습니다. 돌집으로 추가점수를 받는 카드는 1장만 이용 가능합니다</t>
  </si>
  <si>
    <t>점수 (돌집)</t>
  </si>
  <si>
    <t>- 점수를 계산할 때, 플레이어 수가 1/2/3/4명 이상이라면, 당신의 농장에 있는 7/5/4/3번째 가축마다 추가 점수 1점씩을 받습니다. (총 가축 수를 7/5/4/3으로 나눈 만큼 추가점수를 얻습니다. 소수점을 버립니다)
※ 3점 받는 기준으로 계산</t>
  </si>
  <si>
    <t>점수 (가축)</t>
  </si>
  <si>
    <t>- [양 없음] 게임 도중에 번식을 제외한 방법으로 양을 최대 2마리까지만 얻었고, 양을 한 마리도 음식으로 바꾸지 않았다면, 점수를 계산할 때 추가 점수 3점을 받습니다</t>
  </si>
  <si>
    <t>점수(양) [양 없음]</t>
  </si>
  <si>
    <t>- [직업 1개와 밭 2개] 남은 라운드 칸에, 흙부터 시작하여 흙 1개와 멧돼지 1마리를 번갈아 놓습니다. 해당 라운드가 시작될 때마다 해당되는 물건을 가져옵니다
※ 총 6개 물건 받아오는 기준으로 계산</t>
  </si>
  <si>
    <t>흙/돼지 [직업 1개와 밭 2개]</t>
  </si>
  <si>
    <t>음식엔진(1) [직업 2개]</t>
  </si>
  <si>
    <t>- [직업 2개] 개인 창고의 나무 개수만큼의 다음 라운드 칸에 음식 1개씩을 놓습니다. 해당 라운드가 시작될 때마다 이 음식을 가져옵니다
※ 6개 음식 받아오는 기준으로 계산</t>
  </si>
  <si>
    <t>음식엔진(1, 갈대) [직업 2개]</t>
  </si>
  <si>
    <t>- [직업 2개] 라운드마다 한 번씩, 갈대 1개를 낼 수 있습니다. 그렇게 한다면, 다음 라운드 칸 4개에 음식 1개씩을 놓습니다. 해당 라운드가 시작될 때마다 이 음식을 가져옵니다
※ 3번 활용한다는 기준으로 계산</t>
  </si>
  <si>
    <t>- [당신의 앞에 놓은 카드 10장] 남은 라운드 칸들에, 음식 2개씩을 놓습니다. 해당 라운드가 시작될 때마다 이 음식을 가져옵니다
※ 2번 활용한다는 기준으로 계산</t>
  </si>
  <si>
    <t>음식
[당신의 앞에 놓은 카드 10장]</t>
  </si>
  <si>
    <t>음식엔진(1) [방 3개]</t>
  </si>
  <si>
    <t>- [방 3개] 매 라운드를 시작하기 전에, 당신의 손에 직업 카드가 설비 카드보다 많다면, 음식 1개를 가져옵니다
※ 음식 7개 얻는 기준으로 계산</t>
  </si>
  <si>
    <t>음식엔진 (1), 점수 [직업 없음]</t>
  </si>
  <si>
    <t>- [직업 없음] 이 카드는 모든 플레이어가 이용할 수 있는 행동 칸입니다. 이 행동 칸을 이용하는 플레이어는 즉시 음식 1개를 가져옵니다. 집에 돌아오기 단계 직전에, 해당 플레이어는 이 카드에 놓인 가족 구성원을 비어있는 행동 칸으로 옮긴 후 그 행동 칸을 이용할 수 있습니다
※ 음식 4개 얻는 기준으로 계산</t>
  </si>
  <si>
    <t>음식엔진(1) [직업 1개]</t>
  </si>
  <si>
    <t>- [직업 1개] 매 라운드의 집에 돌아오기 단계에서, 당신의 개인 창고에 흙을 나무보다 많이 갖고 있다면, 음식 1개를 가져옵니다
※ 음식 5개 얻는 기준으로 계산</t>
  </si>
  <si>
    <t>음식엔진(1) [6라운드 이후]</t>
  </si>
  <si>
    <t>- [6라운드 이후] 라운드마다 한 번씩, 두 번째 가족 구성원을 놓지 않고 음식 1개를 대신 가져올 수 있습니다. (이 가족 구성원은 이번 라운드의 다음 차례에 다시 놓을 수 있습니다)
※ 음식 4개 얻는 기준으로 계산</t>
  </si>
  <si>
    <t>- 일하기 단계가 시작될 때마다, '낚시' 누적 칸에 음식이 3개 이상 놓여있다면, 공동 창고에서 음식 1개를 가져옵니다
※ 음식 5개 얻는 기준으로 계산</t>
  </si>
  <si>
    <t>- 8에서 11라운드의 행동 칸 카드를 이용할 때마다, 음식 1개를 추가로 가져옵니다</t>
  </si>
  <si>
    <t>- 화로 계열 설비를 이용하여 양이나 멧돼지를 음식으로 바꿀 때마다, 음식 1개를 추가로 가져옵니다
※ 음식 5개 얻는 기준으로 계산</t>
  </si>
  <si>
    <t>음식엔진 (1, 채소)</t>
  </si>
  <si>
    <t>- 남은 라운드 칸들에, 음식 1개씩을 놓습니다. 해당 라운드가 시작될 때마다 이 음식을 가져옵니다
※ 음식 4개 얻는 기준으로 계산</t>
  </si>
  <si>
    <t>- [5라운드 이후] 밭에 채소 씨를 뿌리는 행동이 끝날 때마다, (새로운 채소밭도 포함해서) 갖고 있는 채고밭 1개마다 음식 1개씩을 가져옵니다.
마다 이 음식을 가져옵니다
※ 음식 4개 얻는 기준으로 계산</t>
  </si>
  <si>
    <t>음식 [5라운드 이후]</t>
  </si>
  <si>
    <t>- [화로 반납] 아무 때나:
채소 → 음식3개 / 돼지 → 음식3개 / 양 → 음식2개 / 소 → 음식3개
빵굽기 행동: 곡식 → 음식2개</t>
  </si>
  <si>
    <t>음식엔진(돼지/채소) [화로 반납]</t>
  </si>
  <si>
    <t>- [그릇 제작소 반납] 아무 때나:
흙 → 음식2개
점수 계산할 떄: 
흙 3개 → 1점 / 흙 5개 → 2점 / 흙 6개 → 3점 / 흙 7개 → 4점</t>
  </si>
  <si>
    <t>음식엔진 (흙) [그릇 제작소 반납]</t>
  </si>
  <si>
    <t>- 수확을 시작할 때마다, (곡식이 심어져있는 밭 카드를 포함하여) 곡식 밭을 3개 이상 갖고 있다면, 음식 2개를 가져옵니다</t>
  </si>
  <si>
    <t>음식 (~11R, 곡식밭 3개)</t>
  </si>
  <si>
    <t>- 이 카드를 내려놓을 때, 즉시 음식 2개를 가져옵니다. 매 수확마다 가족 먹여살리기 단계에서, 곡식 2/3/4개를 음식 3/6/9개로 바꿀 수 있습니다</t>
  </si>
  <si>
    <t>음식엔진 (곡식)</t>
  </si>
  <si>
    <t>- 매 수확의 농장 단계에서, 당신의 집에 인접하고, 이번에 작물을 수확한 밭 타일 1개마다 음식 1개씩을 가져옵니다.</t>
  </si>
  <si>
    <t>음식 (수확밭)</t>
  </si>
  <si>
    <t>- [직업 1개] 수확을 하지 않는 라운드가 끝날 때, '빵 굽기' 행동을 할수 있습니다. 
빵 굽기 행동: 곡식 → 음식 2개</t>
  </si>
  <si>
    <t>급한음식 (곡식) [직업 1개]</t>
  </si>
  <si>
    <t>- 매 수확의 농장 단계에서, 곡식을 2개 이상 수확했다면, 공동 창고에서 곡식 1개를 추가로 가져옵니다</t>
  </si>
  <si>
    <t>- 4, 7, 9, 11, 13, 14라운드 중에 순서대로 다음에 오는 라운드 칸 3개에 곡식 1개씩을 놓습니다. 해당 라운드가 시작될 때마다 이 곡식을 가져옵니다</t>
  </si>
  <si>
    <t>곡식 (~10R)</t>
  </si>
  <si>
    <t>- '갈대밭' 누적 칸을 이용할 때마다, 갈대 1개를 내고 채소 1개를 가져올 수 있습니다. 게임 인원이 4명 이상일 때 그렇게 한다면, 방금 낸 갈대 1개는 그 누적 칸에 놓습니다</t>
  </si>
  <si>
    <t>채소 (갈대)</t>
  </si>
  <si>
    <t>- [밭 2개] 매 수확마다 농장 단계 직전에, 개인 창고의 곡식 1개를 내고, 최대 2곳까지의 채소밭에 각각 채소 1개씩을 더할 수 있습니다</t>
  </si>
  <si>
    <t>채소(곡식) [밭 2개]</t>
  </si>
  <si>
    <t>- 아무 때나, 수확으로 인해 물건이 딱 1개만 남아있는 밭이 있으면, 그 물건을 버리고 즉시 그 밭에 '씨 뿌리기' 행동을 할 수 있습니다</t>
  </si>
  <si>
    <t>곡식 (곡식밭)</t>
  </si>
  <si>
    <t>- [직업 1개 이하] 매 수확의 농장 단계에서, 당신이 가진 울타리가 없는 외양간 개수만큼의 밭에서 물건 1개씩을 추가로 수확할 수 있습니다</t>
  </si>
  <si>
    <t>- '농장 확장' 행동 칸을 이용하거나 설비를 짓거나 내려놓는 행동을 한 차례가 끝날 때마다, 해당 행동에 사용한 나무 2개당 나무 1개(소수점 이하는 내림)를 다시 가져옵니다</t>
  </si>
  <si>
    <t>곡식/채소 [직업 1개 이하]</t>
  </si>
  <si>
    <t>가늘/나무 (설비)</t>
  </si>
  <si>
    <t>나무/흙 [직업 1개 이하]</t>
  </si>
  <si>
    <t>- [직업 1개 이하] 매 수확마다 가족 먹여살리기 단계 직후에, 갖고 있는 음식이 없다면, 나무 1개와 흙 1개를 가져옵니다
※ 3번 받는 기준으로 계산</t>
  </si>
  <si>
    <t>- [직업 3개] 누구든(이 카드를 낸 플레이어 포함) 돌집으로 집을 고칠 때마다, 당신은 새로 고쳐진 방 1개마다 흙 1개를 가져옵니다.</t>
  </si>
  <si>
    <t>흙 (돌집) [직업 3개]</t>
  </si>
  <si>
    <t>- 비용으로 흙이 2개 이상 필요한 설비를 짓거나 내려놓은 직후에, 돌 1개를 가져옵니다</t>
  </si>
  <si>
    <t>흙 (설비)</t>
  </si>
  <si>
    <t>- '집 개조' 행동 칸을 통해 주요 설비를 짓거나 보조 설비를 내려놓을 때, 설비 비용에서 원하는 건축 자원 1개를 적게 냅니다. '농장 개조' 행동 칸을 통해 울타리를 칠 때, 총 비용에서 나무 3개를 적게 냅니다</t>
  </si>
  <si>
    <t>건축자원/울타리치기 (집고치기)</t>
  </si>
  <si>
    <t>- 집을 고칠 때마다, 갈대 1개를 적게 냅니다. 그리고 해당 행동이 끝날 때, 돌 1개를 가져옵니다.</t>
  </si>
  <si>
    <t>갈대/돌 (집고치기)</t>
  </si>
  <si>
    <t>- '울타리' 행동 칸을 이용할 때마다, 멧돼지 1마리를 가져옵니다</t>
  </si>
  <si>
    <t>돼지 (울타리치기)</t>
  </si>
  <si>
    <t>[방 3개] 1흙</t>
  </si>
  <si>
    <t>[직업 없음] 2흙</t>
  </si>
  <si>
    <t>[직업 1개] 1나무</t>
  </si>
  <si>
    <t>[6라운드 이후] 1나무 1돌</t>
  </si>
  <si>
    <t>2나무 2채소</t>
  </si>
  <si>
    <t>[5라운드 이후] 1나무</t>
  </si>
  <si>
    <t>[그릇 제작소 반납] 1흙 1돌</t>
  </si>
  <si>
    <t>[직업 1개 이하] 1갈대</t>
  </si>
  <si>
    <t>1나무 / 1음식</t>
  </si>
  <si>
    <t>[멧돼지 1마리 반납 또는 요리]</t>
  </si>
  <si>
    <t>2음식 / 1곡식</t>
  </si>
  <si>
    <t>재료</t>
  </si>
  <si>
    <t>외바퀴 쟁기</t>
  </si>
  <si>
    <t>- [직업 3개] 이 카드 위에 밭 타일 4개를 놓습니다. 농지 행동 칸을 이용할 때, 이 카드의 밭 2개를 일굴 수 있습니다.</t>
  </si>
  <si>
    <t>[직업 3개] 3나무</t>
  </si>
  <si>
    <t>밭 [직업 3개]</t>
  </si>
  <si>
    <t>나무골조 집</t>
  </si>
  <si>
    <t>흙집 골조</t>
  </si>
  <si>
    <t>트러플 슬라이서</t>
  </si>
  <si>
    <t>- 점수를 계산할 때, 돌집 방 수만큼 추가 점수를 받습니다. 카드 1장에서만 돌집으로 추가점수를 받을 수 있습니다</t>
  </si>
  <si>
    <t>1나무 1흙 2돌 1갈대</t>
  </si>
  <si>
    <t>- 흙집 방을 만들 때 흙 5개와 갈대 2개 대신 흙 2개, 나무 1개, 갈대 1개를 낼 수 있습니다.</t>
  </si>
  <si>
    <t>흙집 (방만들기)</t>
  </si>
  <si>
    <t>[8라운드부터 사용 가능] 1나무</t>
  </si>
  <si>
    <t>- [8라운드부터 사용 가능] 나무 누적 칸을 이용할 때, 돼지가 있다면 음식 1개를 내고 추가 1점을 받을 수 있습니다.
※ 3번 이용했다고 가정</t>
  </si>
  <si>
    <t>점수 (나무)
[8라운드부터 사용 가능]</t>
  </si>
  <si>
    <t>밭 울타리</t>
  </si>
  <si>
    <t>증기 기계</t>
  </si>
  <si>
    <t>상추밭</t>
  </si>
  <si>
    <t>돌 수레</t>
  </si>
  <si>
    <t>말이 끄는 보트</t>
  </si>
  <si>
    <t>외부 원조</t>
  </si>
  <si>
    <t>울타리치기 (밭)</t>
  </si>
  <si>
    <t>- 즉시 울타리 치기 행동을 이용할 수 있습니다. 이 행동으로 울타리를 칠 때 밭타일 옆에 치는 울타리에는 나무를 내지 않습니다</t>
  </si>
  <si>
    <t>- 일하기 단계에서 마지막으로 이용한 행동 칸이 누적 칸이었다면 그 뒤 즉시 빵 굽기 행동을 할 수 있습니다.</t>
  </si>
  <si>
    <t>음식엔진 (빵굽기)</t>
  </si>
  <si>
    <t>- [직업 3개] 이 카드는 채소만 심을 수 있는 밭으로 기능을 합니다. 이 카드에서 수확한 채소는 즉시 음식 4개로 바꿀 수 있습니다</t>
  </si>
  <si>
    <t>돌 [직업 2개]</t>
  </si>
  <si>
    <t>- [직업 2개] 남은 모든 짝수 라운드 칸에 돌 1개씩을 놓습니다. 해당 라운드가 시작될 때마다 이 돌을 가져옵니다.
※ 4개 가져온다는 가정하에 계산</t>
  </si>
  <si>
    <t>- [직업 3개] 남은 모든 라운드 칸에 음식부터 시작하여 음식 1개와 양 1개를 교대로 놓습니다. 해당 라운드가 시작될 때마다 이 자원을 가져옵니다.</t>
  </si>
  <si>
    <t>음식/양 [직업 3개]</t>
  </si>
  <si>
    <t>[직업 3개] 2나무</t>
  </si>
  <si>
    <t>급한 음식 [11라운드까지만 사용 가능]</t>
  </si>
  <si>
    <t>- [11라운드까지만 사용 가능] 이 카드를 내려놓으면 즉시 음식 6개를 가져옵니다. 앞으로 12~14라운드 행동 칸을 이용할 수 없습니다.</t>
  </si>
  <si>
    <t>[11라운드까지만 사용 가능]</t>
  </si>
  <si>
    <t>돌집게</t>
  </si>
  <si>
    <t>끝없는 굶주림</t>
  </si>
  <si>
    <t>조각상</t>
  </si>
  <si>
    <t>나무밭</t>
  </si>
  <si>
    <t>수렵 기념물</t>
  </si>
  <si>
    <t>- 채소 종자 행동 칸을 이용한 뒤, 다른 누적 칸에 사람을 놓으면서 그 칸의 자원을 1개 추가로 가져올 수 있습니다.</t>
  </si>
  <si>
    <t>가축/건축자원 (채소)</t>
  </si>
  <si>
    <t>- [남은 라운드 수가 농장판 빈칸보다 많음] 앞으로 남은 라운드 수가 농장판 빈칸보다 더 많을 때에만 이 카드를 내려놓을 수 있습니다.</t>
  </si>
  <si>
    <t>점수
[남은 라운드 수가 농장판 빈칸보다 많음]</t>
  </si>
  <si>
    <t>[남은 라운드 수가 농장판 빈칸보다 많음] 1돌</t>
  </si>
  <si>
    <t>- [직업 1개] 밭 2개처럼 이 카드에 나무를 심을 수 있지만, 이 카드는 밭 1칸으로 취급합니다. 이 카드에 곡식처럼 씨를 뿌리고 나무를 수확합니다.</t>
  </si>
  <si>
    <t>나무 (씨뿌리기) [직업 1개]</t>
  </si>
  <si>
    <t>소형 온실</t>
  </si>
  <si>
    <t>보급선</t>
  </si>
  <si>
    <t>1티어</t>
  </si>
  <si>
    <t>2티어</t>
  </si>
  <si>
    <t>3티어</t>
  </si>
  <si>
    <t>4티어</t>
  </si>
  <si>
    <t>5티어</t>
  </si>
  <si>
    <t xml:space="preserve">음식엔진 (2, 채소) [직업 3개] </t>
  </si>
  <si>
    <t>- [직업 1개] 현재 라운드에 4, 7을 더한 라운드 칸에 채소 1개씩을 놓습니다. 해당 라운드가 시작될 때마다 음식 1개를 내고 이 채소를 살 수 있습니다.</t>
  </si>
  <si>
    <t>채소 (~7R) [직업 1개]</t>
  </si>
  <si>
    <t>- [직업 1개] 낚시 누적 칸을 이용한 뒤, 음식 1개를 내고 곡식 1개, 또는 음식 3개를 내고 채소 1개를 살 수 있습니다</t>
  </si>
  <si>
    <t>곡식/채소 (낚시) [직업 1개]</t>
  </si>
  <si>
    <t>식물 비료</t>
  </si>
  <si>
    <t>재건축 회사</t>
  </si>
  <si>
    <t>- [직업 2개] 이 카드 위에 밭 타일 2개를 놓습니다. 농지나 밭 농사 행동 칸을 이용할 때, 이 카드의 밭 2개를 일굴 수 있습니다.</t>
  </si>
  <si>
    <t>밭 [직업 2개]</t>
  </si>
  <si>
    <t>[직업 2개] 3나무</t>
  </si>
  <si>
    <t>자산 평가</t>
  </si>
  <si>
    <t>양의 우물</t>
  </si>
  <si>
    <t>당근 박물관</t>
  </si>
  <si>
    <t>음식엔진 (1,양)</t>
  </si>
  <si>
    <t>- 양의 수까지의 다음 라운드 칸에 음식 1개씩을 놓습니다. 해당 라운드가 시작될 때마다 이 음식을 가져옵니다
※ 음식 3개 가져오는 기준으로 계산</t>
  </si>
  <si>
    <t>나무/돌 [8라운드까지만 사용 가능]</t>
  </si>
  <si>
    <t>- [8라운드까지만 사용 가능] 8, 10, 12라운드가 끝날 때, 채소밭마다 
 돌 1개씩을, 개인 창고에 있는 채소마다 나무 1개씩을 가져옵니다.
※ 각각 2개 가져오는 기준으로 계산</t>
  </si>
  <si>
    <t>갈대 연못</t>
  </si>
  <si>
    <t>작은 우리(B)</t>
  </si>
  <si>
    <t>[8라운드까지만 사용 가능] 1나무 2흙</t>
  </si>
  <si>
    <t>2돌</t>
  </si>
  <si>
    <t>- 다음 라운드 칸 4개에 음식 0/1/2/3개를 놓습니다. 해당 라운드가 시작될 대마다 이 음식을 가져옵니다</t>
  </si>
  <si>
    <t>음식 (~10R)</t>
  </si>
  <si>
    <t>- [직업 3개] 다음 라운드 칸 3개에 갈대 1개씩을 놓습니다. 해당 라운드가 시작될 때마다 이 갈대를 가져옵니다.</t>
  </si>
  <si>
    <t>갈대 [직업 3개]</t>
  </si>
  <si>
    <t>고기 전문 음식점</t>
  </si>
  <si>
    <t>책장</t>
  </si>
  <si>
    <t>모래 뿌리는 사람</t>
  </si>
  <si>
    <t>- [직업 3개] 직업을 내려놓을 때, 직업 비용을 내기 전에 음식 3개를 가져옵니다.</t>
  </si>
  <si>
    <t>교습 [직업 3개]</t>
  </si>
  <si>
    <t>사슬 써레</t>
  </si>
  <si>
    <t>숲 속 여관</t>
  </si>
  <si>
    <t>집 모양 등불</t>
  </si>
  <si>
    <t>나무 공예</t>
  </si>
  <si>
    <t>[직업 0개]</t>
  </si>
  <si>
    <t>점수(카드) [직업 0개]</t>
  </si>
  <si>
    <t>- [직업 0개] 점수를 계산할 때, 손에 남아있는 카드마다 -1점을 받습니다. 손에서 카드를 내려놓지 않고 버릴 수 없습니다. 이미 손에서 카드를 내려놓지 않고 버렸다면 이 카드를 내려놓을 수 없습니다.
※ 카드 4장 남아있는 기준으로 계산</t>
  </si>
  <si>
    <t>- [직업 1개] 나무 누적 칸을 이용한 뒤, 갖고 있는 나무가 5개 이하라면 
 음식 1개를 가져옵니다.</t>
  </si>
  <si>
    <t>초반음식 [직업 1개]</t>
  </si>
  <si>
    <t>양날쟁기</t>
  </si>
  <si>
    <t>- 날품팔이 행동 칸을 이용할 때마다 다음 라운드 칸 4개에 음식 1개씩을 놓습니다. 해당 라운드가 시작될 때마다 이 음식을 가져옵니다.</t>
  </si>
  <si>
    <t>음식엔진(1, 날품팔이)</t>
  </si>
  <si>
    <t>음식엔진(1, 밭)</t>
  </si>
  <si>
    <t>- 작물을 심은 밭의 수 x 3개까지의 남은 라운드 칸에 음식 1개씩을 놓습니다. 해당 라운드가 시작될 때마다 이 음식을 가져옵니다.
※ 음식 6개 가져오는 기준으로 계산</t>
  </si>
  <si>
    <t>- 날품팔이 행동 칸을 이용할 때마다, 그 후에 음식 2개를 내고 나무 1개, 
 흙 1개, 갈대 1개, 돌 1개를 구매할 수 있습니다.</t>
  </si>
  <si>
    <t>건축자원 (날품팔이)</t>
  </si>
  <si>
    <t>농장 상점</t>
  </si>
  <si>
    <t>- 수확 중 가족 먹여살리기 단계가 끝난 뒤 1번씩, 음식 1개를 내고 서로 다른 건축 자원 2개나 채소 1개를 가져올 수 있습니다.</t>
  </si>
  <si>
    <t>건축자원/채소 (음식)</t>
  </si>
  <si>
    <t>2나무 2흙</t>
  </si>
  <si>
    <t>곡식저장고</t>
  </si>
  <si>
    <t>- [양이 딱 1마리라면] 이 카드를 내려놓으면 다른 모든 플레이어들은 음식
1개를 가져갑니다.</t>
  </si>
  <si>
    <t>중후반</t>
  </si>
  <si>
    <t>점수 [양이 딱 1마리라면]</t>
  </si>
  <si>
    <t>3나무 / 3흙</t>
  </si>
  <si>
    <t>- 8, 10, 12라운드 칸에 곡식 1개씩을 놓습니다. 해당 라운드가 시작될 때마다 이 곡식을 가져옵니다.</t>
  </si>
  <si>
    <t>곡식 (~7R)</t>
  </si>
  <si>
    <t>- [외양간 3개와 우리 3개] 이 카드를 놓을 때, 앞으로 남은 라운드 수만큼 즉시 음식을 가져옵니다. 아무 때나, 양 1마리와 돼지 1마리를 내고 소 1마리를 가져올 수 있습니다.
※ 음식 2개 가져오는 기준으로 계산</t>
  </si>
  <si>
    <t>음식 [외양간 3개와 우리 3개]</t>
  </si>
  <si>
    <t>[외양간 3개와 우리 3개]</t>
  </si>
  <si>
    <t>- 조건 없는 씨 뿌리기 행동을 할 때마다, 그 후에 공동 창고에서 곡식 1개를 가져옵니다. 11라운드부터는 대신에 채소 1개를 가져올 수 있습니다.</t>
  </si>
  <si>
    <t>방목장</t>
  </si>
  <si>
    <t>- [직업 2개] 이 카드 위에 양 1마리, 돼지 1마리, 소 1마리를 키울 수 있습니다.</t>
  </si>
  <si>
    <t>우리 [직업 2개]</t>
  </si>
  <si>
    <t>- 현재 라운드에 5, 7, 9, 11, 13을 더한 라운드 칸에 갈대 1개씩을 놓습니다. 해당 라운드가 시작될 때마다 이 갈대를 가져옵니다.</t>
  </si>
  <si>
    <t>갈대(~4R)</t>
  </si>
  <si>
    <t>잔디 비료</t>
  </si>
  <si>
    <t>착유소</t>
  </si>
  <si>
    <t>- 수확 중 가족 먹여살리기 단계에서 1번씩, 음식 1개를 가져옵니다. 더 이상 카드 능력을 포함한 어떤 방법으로도 집에 가축을 놓을 수 없습니다
※ 음식 3개 가져오는 기준으로 계산</t>
  </si>
  <si>
    <t>돌이 많은 지형</t>
  </si>
  <si>
    <t>- (밭 타일이나 밭으로 취급하는 카드인) 밭을 일굴 때마다, 음식 1개를 내고 
돌 1개를 가져올 수 있습니다.</t>
  </si>
  <si>
    <t>돌 (밭,음식)</t>
  </si>
  <si>
    <t>사육장 울타리</t>
  </si>
  <si>
    <t>- 새로 외양간을 지을 때 음식 1개를 받습니다. 마지막 외양간을 지을 때는 대신 음식 3개를 받습니다. 외양간을 지을 때 외양간 1개에서 나무 2개 대신 흙 1개를 낼 수 있습니다.</t>
  </si>
  <si>
    <t>음식/외양간</t>
  </si>
  <si>
    <t>독일식 산림 개간</t>
  </si>
  <si>
    <t>책꽂이</t>
  </si>
  <si>
    <t>황새 둥지</t>
  </si>
  <si>
    <t>[직업 3개] 1나무</t>
  </si>
  <si>
    <t>- [직업 1개] 직업을 내려놓을 때마다 채소 1개를 가져옵니다.</t>
  </si>
  <si>
    <t>채소(교습) [직업 1개]</t>
  </si>
  <si>
    <t>- [직업 5개] 매 라운드의 집에 돌아오기 단계에서, 사람보다 방이 많다면 
음식 1개를 내고 가족 늘리기 행동을 할 수 있습니다.</t>
  </si>
  <si>
    <t>후반 가늘(음식) [직업 5개]</t>
  </si>
  <si>
    <t>[직업 5개] 1갈대</t>
  </si>
  <si>
    <t>채칼©</t>
  </si>
  <si>
    <t>퇴비용 갈퀴</t>
  </si>
  <si>
    <t>젖짜기 의자</t>
  </si>
  <si>
    <t>- 라운드당 1번, 채소 1개를 내고 추가 1점을 받을 수 있습니다. 이 경우 다음 라운드 칸 2개에 음식 1개씩을 놓습니다. 해당 라운드가 시작될 때마다 이 음식을 가져옵니다.</t>
  </si>
  <si>
    <t>점수/음식 (채소)</t>
  </si>
  <si>
    <t>- 점수를 계산할 때, 정확히 양 1마리, 돼지 1마리, 또는 소 1마리만 있고 울타리를 치지 않은 외양간마다 추가 1점을 받습니다.</t>
  </si>
  <si>
    <t>[직업 2개] 1나무</t>
  </si>
  <si>
    <t>음식엔진/점수 (소) [직업 2개]</t>
  </si>
  <si>
    <t>- [직업 2개] 수확 중 농장 단계에서, 소를 1/3/5마리 이상 갖고 있다면 
음식 1/2/3개를 가져옵니다. 점수를 계산할 때, 소 2마리당 추가 1점씩을 받습니다.
※ 음식 4개에 점수 2점 획득</t>
  </si>
  <si>
    <t>청사진</t>
  </si>
  <si>
    <t>짚더미</t>
  </si>
  <si>
    <t>동물 거래</t>
  </si>
  <si>
    <t>- 보조 설비 행동으로도 "가구 제작소", "그릇 제작소", "바구니 제작소" 주요 설비를 내려놓을 수 있습니다. 해당 설비를 내려놓을 때 돌 1개씩을 적게 냅니다.</t>
  </si>
  <si>
    <t>음식엔진 (아랫줄 설비)</t>
  </si>
  <si>
    <t>2양</t>
  </si>
  <si>
    <t>- 즉시 돼지 1마리와 소 1마리를 가져옵니다. (실질적으로, 양 2마리를 돼지 1마리와 소 1마리로 바꿉니다. 사용 후 왼쪽 플레이어에게 넘깁니다)</t>
  </si>
  <si>
    <t>돼지/소 (양)</t>
  </si>
  <si>
    <t>두바퀴 수레</t>
  </si>
  <si>
    <t>지속적 호밀 경작</t>
  </si>
  <si>
    <t>- [곡식밭 1개] 수확 단계가 끝날 때, 곡식이 2개 이상이라면 음식 1개를 가져옵니다. 3개 이상이라면 곡식 1개도 함께 가져옵니다.</t>
  </si>
  <si>
    <t>음식/곡식(곡식) [곡식밭 1개]</t>
  </si>
  <si>
    <t>교육 수당</t>
  </si>
  <si>
    <t>- [우리 1개] 이 카드를 놓을 때, 즉시 소 2마리를 가져옵니다.</t>
  </si>
  <si>
    <t>소 [우리 1개]</t>
  </si>
  <si>
    <t>[설비 2개] 1음식</t>
  </si>
  <si>
    <t>- [설비 2개] 1/2/3/4/5/6번째 직업을 내려놓을 때 즉시 곡식/흙/갈대/돌/채소/밭 1개를 가져옵니다 (이미 내려놓은 직업에 대한 혜택은 받지 않습니다)
※ 갈대/돌/채소 받아오는 것으로 계산</t>
  </si>
  <si>
    <t>채소 [설비 2개]</t>
  </si>
  <si>
    <t>짚지붕</t>
  </si>
  <si>
    <t>개척 정신</t>
  </si>
  <si>
    <t>- [곡식밭 3개] 집을 고칠 때나 방을 만들 때 갈대를 내지 않습니다.</t>
  </si>
  <si>
    <t>흙집/느린 가늘 (곡식밭) [곡식밭 3개]</t>
  </si>
  <si>
    <t>[곡식밭 3개]</t>
  </si>
  <si>
    <t>도리깨</t>
  </si>
  <si>
    <t>- 이 카드를 내려놓으면 즉시 음식 2개를 가져옵니다. 농지나 밭 농사 행동 칸을 이용할 때, 빵 굽기 행동을 추가로 할 수 있습니다.</t>
  </si>
  <si>
    <t>음식엔진 (빵굽기, 밭)</t>
  </si>
  <si>
    <t>Hook Knife</t>
  </si>
  <si>
    <t>- [직업 2개] 수확을 하지 않는 라운드마다 한 번씩, 곡식 1개를 내고 가축 1종류를 골라 번식시킬 수 있습니다. (번식 단계로 간주하지 않습니다)</t>
  </si>
  <si>
    <t>돼지/소 (곡식) [직업 2개]</t>
  </si>
  <si>
    <t>화로(2흙)</t>
  </si>
  <si>
    <t>화로(3흙)</t>
  </si>
  <si>
    <t>화덕(4흙)</t>
  </si>
  <si>
    <t>화덕(5흙)</t>
  </si>
  <si>
    <t>흙가마</t>
  </si>
  <si>
    <t>돌가마</t>
  </si>
  <si>
    <t>우물</t>
  </si>
  <si>
    <t>가구 제작소</t>
  </si>
  <si>
    <t>그릇 제작소</t>
  </si>
  <si>
    <t>바구니 제작소</t>
  </si>
  <si>
    <t>돌이 솟은 공터</t>
  </si>
  <si>
    <t>개인 숲</t>
  </si>
  <si>
    <t>도기</t>
  </si>
  <si>
    <t>- 즉시 빈 칸에 돌 1개씩을 놓습니다. 이렇게 돌이 심겨진 밭에는 작물이 있는 것으로 취급합니다. 다음 농장 단계에서 이 카드로 놓은 돌을 수확합니다. (사용 후 왼쪽 플레이어에게 넘깁니다)</t>
  </si>
  <si>
    <t>돌 (밭)</t>
  </si>
  <si>
    <t>- [직업 1개] 남은 모든 짝수 라운드 칸에 나무 1개씩을 놓습니다. 해당 라운드가 시작될 때마다 이 나무를 가져옵니다</t>
  </si>
  <si>
    <t>- 빵 굽기 행동을 하기 전에, 흙 1개를 내고 곡식 1개를 가져올 수 있습니다.</t>
  </si>
  <si>
    <t>음식엔진 (빵 굽기, 흙)</t>
  </si>
  <si>
    <t>흙 파이프</t>
  </si>
  <si>
    <t>사료</t>
  </si>
  <si>
    <t>- 이 카드를 내려놓으면 즉시 양 1마리를 가져옵니다. 수확 중 가족 먹여살리기 단계에서 1번씩, 채소 1개를 내고 키우고 있는 종류의 가축 1마리를 가져올 수 있습니다.</t>
  </si>
  <si>
    <t>가축 (채소)</t>
  </si>
  <si>
    <t>외양간</t>
  </si>
  <si>
    <t>- 즉시 외양간 1개를 짓습니다. (외양간을 짓는 비용은 따로 내지 않습니다. 사용 후 왼쪽 플레이어에게 이 카드를 넘깁니다)</t>
  </si>
  <si>
    <t>완료</t>
  </si>
  <si>
    <t xml:space="preserve"> TRUE</t>
  </si>
  <si>
    <t>자동 급수기</t>
  </si>
  <si>
    <t>책상</t>
  </si>
  <si>
    <t>호화로운 숙박시설</t>
  </si>
  <si>
    <t>- [직업 2개] 교습 행동 칸을 이용할 때, 음식 2개를 내고 직업 1개를 더 내려놓을 수 있습니다</t>
  </si>
  <si>
    <t>교습(음식) [직업 2개]</t>
  </si>
  <si>
    <t>녹지 계획</t>
  </si>
  <si>
    <t>삼지창</t>
  </si>
  <si>
    <t>- [직업 3개] 나무 누적 칸을 이용할 때, 나무 2개를 추가로 가져옵니다.</t>
  </si>
  <si>
    <t>나무 [직업 3개]</t>
  </si>
  <si>
    <t>[3/6/9/12라운드에 사용 가능] 1나무</t>
  </si>
  <si>
    <t>- [3/6/9/12라운드에 사용 가능] 이 카드를 3/6/9/12라운드에 내려놓았다면, 즉시 음식 3/4/5/6개를 가져옵니다 (사용 후 왼쪽 플레이어에게 이 카드를 넘깁니다)</t>
  </si>
  <si>
    <t>급한음식 [3/6/9/12라운드에 사용 가능]</t>
  </si>
  <si>
    <t>슈납스 증류기</t>
  </si>
  <si>
    <t>2돌 1채소</t>
  </si>
  <si>
    <t>- 수확 중 가족 먹여살리기 단계에서 1번씩, 채소 1개를 내고 음식 5개를 가져올 수 있습니다. 점수를 계산할 때, 5/6번째 채소마다 추가 1점씩을 받습니다.</t>
  </si>
  <si>
    <t>음식엔진(2, 채소)/점수</t>
  </si>
  <si>
    <t>닭장</t>
  </si>
  <si>
    <t>- 다음 라운드 칸 8개에 음식 1개씩을 놓습니다. 해당 라운드가 시작될 때마다 이 음식을 가져옵니다.</t>
  </si>
  <si>
    <t>1갈대 + 2흙/2나무</t>
  </si>
  <si>
    <t>- 다음 라운드 칸 3개에 흙 1개씩을 놓습니다. 해당 라운드가 시작될 때마다 이 흙을 가져옵니다.</t>
  </si>
  <si>
    <t>흙</t>
  </si>
  <si>
    <t>주거용 둔덕</t>
  </si>
  <si>
    <t>[3라운드까지만 사용 가능]</t>
  </si>
  <si>
    <t>점수 [3라운드까지만 사용 가능]</t>
  </si>
  <si>
    <t>- [3라운드까지만 사용 가능] 앞으로 농장판에 밭 타일을 놓을 때, 놓는 밭 타일마다 음식 1개를 내야 합니다.
※ 밭 2개까지만 놓는걸로 계산</t>
  </si>
  <si>
    <t>음식엔진 (1, ~6R)</t>
  </si>
  <si>
    <t>`</t>
  </si>
  <si>
    <t>0.5-0.29</t>
  </si>
  <si>
    <t>- 이 카드를 내려놓으면 즉시 곡식 1개를 가져옵니다. 수확 중 농장 단계에서 곡식밭마다 곡식 1개를 추가로 수확할 수 있습니다.
※ 정확한 가치 판단 어려워 추가이득 0.5로 설정</t>
  </si>
  <si>
    <t>- 외양간이 없는 우리에 가축을 1마리씩 더 키울 수 있습니다. 밭에 씨를 뿌릴 때마다, 그 밭에 해당 작물을 추가로 1개 더 놓을 수 있습니다.
※ 정확한 가치 판단 어려워 추가이득 1.25로 설정</t>
  </si>
  <si>
    <t>- '곡식 종자' 행동 칸을 이용할 때, 채소 1개를 추가로 가져옵니다</t>
  </si>
  <si>
    <t>- 매 라운드가 시작될 때, 아무 종류의 가축 1마리와 곡식 1개, 채소 1개를 음식 5개와 추가점수 2점으로 교환할 수 있습니다
※ 5번 이용했다는 가정</t>
  </si>
  <si>
    <t>나무 오두막 짓는 사람</t>
  </si>
  <si>
    <t>- 게임 중 한 번이라도 농장에 더 이상 빈칸이 없게 되면, 그 이후 수확하는 각각의 채소 1개당 추가점수 1점씩을 받습니다
※ 추가점수 4점 받는다는 가정으로 계산</t>
  </si>
  <si>
    <t>/</t>
  </si>
  <si>
    <t>(1.5-0.5)*2</t>
  </si>
  <si>
    <t>- [밭 타일 없음] '채석장' 누적 행동 칸을 이용할 때마다, 한 종류의 작물만이 심어진 모든 밭에 각 작물을 1개씩 추가합니다
※ 곡식/채소 합쳐서 3개 올리는 기준으로 계산</t>
  </si>
  <si>
    <t>- [밭 타일 없음] '채석장' 누적 행동 칸을 이용할 때마다, 한 종류의 작물만이 심어진 모든 밭에 각 작물을 1개씩 추가합니다
※ 곡식/채소 합쳐서 2개 올리는 기준으로 계산</t>
  </si>
  <si>
    <t>곡식(~5R) [직업 2개]</t>
  </si>
  <si>
    <t>- 점수를 계산할 때, (개인 창고와 밭에 있는 모든 작물을 합쳐) 곡식 1개와 채소 1개로 이루어진 한 쌍마다 추가점수 0.5점씩을 받습니다. 이 카드의 점수를 합산한 후 소수점 이하는 올림합니다.
※ 곡식/채소 추가점수 3점으로 계산</t>
  </si>
  <si>
    <t>- [직업 2개] 예배당은 모두가 쓸 수 있는 행동 칸입니다. 예배당을 이용하는 플레이어는 추가점수 3점을 받습니다. 다른 플레이어가 예배당을 이용할 경우 예배당 주인에게 곡식 1개를 내야 합니다
※ 곡식 2개 받고 3회 들어가는 기준으로 계산</t>
  </si>
  <si>
    <t xml:space="preserve">- 수확을 하는 라운드(4, 7, 9, 11, 13, 14)가 시작하기 전에, 다음 작물을 각각 1번씩 구매할 수 있습니다
2음식 → 1곡식 / 4음식 → 1채소 </t>
  </si>
  <si>
    <t>(1+0.75-1)*2</t>
  </si>
  <si>
    <t>채소 (~5R) [직업 2개]</t>
  </si>
  <si>
    <t>- 8, 10, 12라운드의 집에 돌아오기 단계마다, 채소밭 딱 1곳에서 채소 1개를 가져올 수 있습니다. 또한 이렇게 가져온 채소를 즉시 음식 3개와 추가점수 1점으로 바꿀 수 있습니다
※ 2번 효과 발동했다고 가정</t>
  </si>
  <si>
    <t>- [5라운드 이후] 밭에 채소 씨를 뿌리는 행동이 끝날 때마다, (새로운 채소밭도 포함해서) 갖고 있는 채소밭 1개마다 음식 1개씩을 가져옵니다.
마다 이 음식을 가져옵니다
※ 음식 4개 얻는 기준으로 계산</t>
  </si>
  <si>
    <t>채칼(C)</t>
  </si>
  <si>
    <t>- [직업 1개] 흙 누적 칸을 이용한 후에 즉시, 흙 1개를 추가점수 1점으로 바꿀 수 있습니다. 그렇게 한다면, 추가점수로 바꾼 흙 1개는 이용한 누적 칸에 놓습니다.</t>
  </si>
  <si>
    <t>ㅈ</t>
  </si>
  <si>
    <t>점수(흙) [직업 1개]</t>
  </si>
  <si>
    <t>- [직업 1개] 당신이 '유랑극단' 누적 칸을 이용할 때마다, 추가점수 1점을 받습니다. 플레이어 수가 1~3명인 게임에서는 이 카드를 '유랑극단' 누적 칸으로 간주합니다. ('낚시' 누적칸 처럼 준비 단계에 음식을 1개씩 올려놓습니다</t>
  </si>
  <si>
    <t>점수 [직업 1개]</t>
  </si>
  <si>
    <t>- [직업 1개] 당신이 '유랑극단' 누적 칸을 이용할 때마다, 추가점수 1점을 받습니다. 플레이어 수가 1~3명인 게임에서는 이 카드를 '유랑극단' 누적 칸으로 간주합니다. ('낚시' 누적칸 처럼 준비 단계에 음식을 1개씩 올려놓습니다)</t>
  </si>
  <si>
    <t>- [직업 없음] 이 카드를 내려놓을 때, 비용으로 곡식/갈대를 냈다면, 즉시 채소 1개/나무 4개를 가져옵니다</t>
  </si>
  <si>
    <t>나무 [직업 없음]</t>
  </si>
  <si>
    <t>- 주요 설비를 지을 때마다, 다음 라운드 칸 3개에 음식 1개씩을 놓습니다. 해당 라운드가 시작될 때마다 이 음식을 가져옵니다</t>
  </si>
  <si>
    <t>음식 (주요 설비)</t>
  </si>
  <si>
    <t>- [직업 1개] 당신의 차례에 사용되지 않은 농장 칸을 1개 이상 사용하고 차례를 끝낼 때마다, 음식 1개를 가져옵니다</t>
  </si>
  <si>
    <t>음식 [직업 1개]</t>
  </si>
  <si>
    <t>- 매 수확의 가족 먹여살리기 단계에서, 울타리가 없고 가축을 키우지 않는 당신의 외양간의 수만큼 곡식 1개를 음식 5개로 바꿀 수 있습니다</t>
  </si>
  <si>
    <t>음식엔진 (곡식&amp;외양간)</t>
  </si>
  <si>
    <t>- [화로 계열 설비]</t>
  </si>
  <si>
    <t>[화로 계열 설비]</t>
  </si>
  <si>
    <t>[화로 계열 설비] 1갈대</t>
  </si>
  <si>
    <t>- [화로 계열 설비] 행동 칸의 효과로 얻은 새로운 멧돼지 1마리마다 음식 1개를 가져옵니다</t>
  </si>
  <si>
    <t>- 화로계열 설비를 이용하여 동시에 음식으로 바꾼 물건 2개마다, 추가로 음식 1개를 가져옵니다</t>
  </si>
  <si>
    <t>음식 (화로 계열)</t>
  </si>
  <si>
    <t>- (비용으로 당신의 개인 창고에 있는 외양간 1개를 게임으로부터 제거합니다.) 매 수확읜 농장 단계가 끝난 후에, 개인 창고에 있는 울타리 1개와 곡식 1개를 음식 5개로 바꿀 수 있습니다(사용한 울타리는 게임에서 제거합니다)</t>
  </si>
  <si>
    <t>음식엔진 (울타리, 곡식)</t>
  </si>
  <si>
    <t>- (비용으로 당신의 개인 창고에 있는 외양간 1개를 게임으로부터 제거합니다.) 매 수확읜 농장 단계가 끝난 후에, 개인 창고에 있는 울타리 1개와 곡식 1개를 음식 5개로 바꿀 수 있습니다(사용한 울타리는 게임에서 제거합니다)
※ 3번쓴다는 가정 하에 진행</t>
  </si>
  <si>
    <t>- 매 수확의 가족 먹여살리기 단계에서 한 번씩, 이 카드를 이용하여 나무/흙/돌 1개를 음식 2/2/3개로 바꿀 수 있습니다.</t>
  </si>
  <si>
    <t>음식엔진 (1, 건축자원)</t>
  </si>
  <si>
    <t>- 이 카드를 내려놓을 때, 즉시 음식 3개를 내고 채소 딱 1개를 구매할 수 있습니다. 아무 때나, 당신의 밭에서 다른 채소 위에 올려진 채소 1개를 버리고 음식 4개를 가져올 수 있습니다</t>
  </si>
  <si>
    <t>음식엔진 (2, 채소)</t>
  </si>
  <si>
    <t>- [흙가마 또는 돌가마 반납] 이 카드를 내려놓을 때, 즉시 음식 5개를 가져옵니다</t>
  </si>
  <si>
    <t>- [흙가마 또는 돌가마 반납] 이 카드를 내려놓을 때, 즉시 음식 5개를 가져옵니다. '빵 굽기' 행동을 할 때마다, 그 전에 '흙가마'나 '돌가마' 주요 설비를 지을 수 있습니다</t>
  </si>
  <si>
    <t>음식/가마 [흙가마 또는 돌가마 반납]</t>
  </si>
  <si>
    <t>- '빵 굽기' 행동을 할 때마다 한 번씩, 이 카드를 이용하여 곡식 1개를 음식 2개와 추가점수 1점으로 바꿀 수 있습니다</t>
  </si>
  <si>
    <t>음식/점수</t>
  </si>
  <si>
    <t>음식/점수 (곡식)</t>
  </si>
  <si>
    <t>0.29*2</t>
  </si>
  <si>
    <t>- 수확 때마다, 당신의 화로 계열 설비를 각각 한 번씩 이용해, 가축 1마리나 채소 1개를 두 배의 음식으로 바꿀 수 있습니다</t>
  </si>
  <si>
    <t>음식엔진 (화로 계열)</t>
  </si>
  <si>
    <t>- 매 수확의 가족 먹여살리기 단계에서 한 번씩, 이 카드를 이용하여 개인 창고의 곡식 1개와 밭에 심어진 곡식 1개를 추가점수 2점과 음식 4개로 바꿀 수 있습니다</t>
  </si>
  <si>
    <t>음식엔진/점수 (곡식&amp;곡식밭)</t>
  </si>
  <si>
    <t>- 라운드마다 한 번씩, 곡식 1개를 내고 다음 라운드 칸 4개에 음식 1개씩을 놓을 수 있습니다. 해당 라운드가 시작될 때마다 이 음식을 가져옵니다</t>
  </si>
  <si>
    <t>- 수확을 하지 않는 라운드를 시작할 때마다, 적어도 1마리리의 양을 우리에서 키우고 있다면, 곡식 1개를 가져옵니다</t>
  </si>
  <si>
    <t>- 수확을 하지 않는 라운드를 시작할 때마다, 적어도 1마리의 양을 우리에서 키우고 있다면, 곡식 1개를 가져옵니다</t>
  </si>
  <si>
    <t>곡식 (양)</t>
  </si>
  <si>
    <t>- 아무 때나, 한 밭에 심어진 곡식 3개를, 그 밭에 심어진 채소 1개로 바꿀 수 있습니다</t>
  </si>
  <si>
    <t>채소 (곡식밭)</t>
  </si>
  <si>
    <t>- 매 수확의 번식 단계에서, 새로 태어난 가축을 적어도 두 종류 가져왔다면, '씨 뿌리기' 행동을 할 수 있습니다</t>
  </si>
  <si>
    <t>곡식/채소 (가축번식)</t>
  </si>
  <si>
    <t>- 매 수확의 번식 단계에서, 새로 태어난 가축을 적어도 두 종류 가져왔다면, '씨 뿌리기' 행동을 할 수 있습니다
※ 한 번 사용했다고 가정</t>
  </si>
  <si>
    <t>- [직업 2개] 이 카드를 내려놓을 때, 당신은 즉시 수확의 농장 단계를 진행합니다. 그 후에, '주요 설비 짓기 또는 보조설비 내리기' 행동을 합니다</t>
  </si>
  <si>
    <t>설비 [직업 2개]</t>
  </si>
  <si>
    <t>- 매 라운드의 집에 돌아오기 단계에서, 이 카드 위에 나무 1개를 ㅈ놓습니다. 당신이 '화로'나 '화덕', '가마' 설비를 지을 때마다, 그 전에 이 카드에 올려진 나무를 4개까지 개인 창고로 가져옵니다</t>
  </si>
  <si>
    <t>맛보기</t>
  </si>
  <si>
    <t>숲주인</t>
  </si>
  <si>
    <t>야간학교 학생</t>
  </si>
  <si>
    <t>임시 일꾼</t>
  </si>
  <si>
    <t>채칼</t>
  </si>
  <si>
    <t>곡식용 체</t>
  </si>
  <si>
    <t>숯 굽는 사람[직업]</t>
  </si>
  <si>
    <t>채칼(c)</t>
  </si>
  <si>
    <t>숲 주인[직업]</t>
  </si>
  <si>
    <t>아늑한 집[보조]</t>
  </si>
  <si>
    <t>무조건 수정필요</t>
  </si>
  <si>
    <t>보조</t>
  </si>
  <si>
    <t>[보조]</t>
  </si>
  <si>
    <t>10월 10일</t>
  </si>
  <si>
    <t>- 너무 여유부리다가 훅가고 너무 급해도 훅간다!</t>
  </si>
  <si>
    <t>- [화로 계열 설비] 돼지 누적 칸의 효과로 얻은 새로운 멧돼지 1마리마다 음식 1개를 가져옵니다</t>
  </si>
  <si>
    <t>음식 (돼지) [화로 계열 설비]</t>
  </si>
  <si>
    <t>- 매 라운드의 집에 돌아오기 단계에서, 이 카드 위에 나무 1개를 놓습니다. 당신이 '화로'나 '화덕', '가마' 설비를 지을 때마다, 그 전에 이 카드에 올려진 나무를 4개까지 개인 창고로 가져옵니다</t>
  </si>
  <si>
    <t>나무 (설비)</t>
  </si>
  <si>
    <t>- [개인 창고에 1갈대와 1돌] 이 카드 위에 건축 자원을 종류별로 2개씩 놓습니다. 누구든 (이 카드를 낸 플레이어 포함) 적어도 행동 칸에서 나무 5개나 흙 4개, 갈대 3개, 돌 3개를 가져갈 때마다, 당신은 해당되는 건축 자원 1개를 이 카드에서 가져랍니다</t>
  </si>
  <si>
    <t>건축자원 [개인 창고에 1갈대와 1돌]</t>
  </si>
  <si>
    <t>초반 (3)</t>
  </si>
  <si>
    <t>중반 (3)</t>
  </si>
  <si>
    <t>후반 (4)</t>
  </si>
  <si/>
  <si>
    <t>화덕</t>
  </si>
  <si>
    <t>흑단 세공사</t>
  </si>
  <si>
    <t>중반 (4)</t>
  </si>
  <si>
    <t>후반 (2)</t>
  </si>
  <si>
    <t>중반 (5)</t>
  </si>
  <si>
    <t>후반 (3)</t>
  </si>
  <si>
    <t>장작 더미</t>
  </si>
  <si>
    <t>어망</t>
  </si>
  <si>
    <t>- 다른 플레이어가 낚시 누적 칸을 이용하려면 이 카드를 내려놓은 플레이어에게 음식 1개를 내야 합니다. 이 효과를 받은 라운드의 집에 돌아오기 단계에서 낚시 누적 칸에 음식  2개를 놓습니다.</t>
  </si>
  <si>
    <t>- 다른 플레이어가 낚시 누적 칸을 이용하려면 이 카드를 내려놓은 플레이어에게 음식 1개를 내야 합니다. 이 효과를 받은 라운드의 집에 돌아오기 단계에서 낚시 누적 칸에 음식 2개를 놓습니다.</t>
  </si>
  <si>
    <t>- 다른 플레이어가 낚시 누적 칸을 이용하려면 이 카드를 내려놓은 플레이어에게 음식 1개를 내야 합니다. 이 효과를 받은 라운드의 집에 돌아오기 단계에서 낚시 누적 칸에 음식 2개를 놓습니다.
※ 남이 두 번 내가 2번 사용</t>
  </si>
  <si>
    <t>- [설비 2개] 1/2/3/4/5/6번째 직업을 내려놓을 때 즉시 곡식/흙/갈대/돌/채소/밭 1개를 가져옵니다 (이미 내려놓은 직업에 대한 혜택은 받지 않습니다)
※ 갈대/돌/채소/밭 받아오는 것으로 계산</t>
  </si>
  <si>
    <t>- 이 카드를 내려놓을때, 즉시 흙 2개를 가져옵니다. 라운드마다 한 번 씩 아무 때나, 음식 2개를 내고 흙 2개를 구매할 수 있습니다</t>
  </si>
  <si>
    <t>목축</t>
  </si>
  <si>
    <t>농경</t>
  </si>
  <si>
    <t>농경 (곡식)</t>
  </si>
  <si>
    <t>농경 (채소)</t>
  </si>
  <si>
    <t>흙/돌가마</t>
  </si>
  <si>
    <t>카드</t>
  </si>
  <si>
    <t>음식엔진 (45개)</t>
  </si>
  <si>
    <t>엔진</t>
  </si>
  <si>
    <t>점수엔진</t>
  </si>
  <si>
    <t>항목</t>
  </si>
  <si>
    <t>화덕(흙4)</t>
  </si>
  <si>
    <t>음식엔진 (27~32, 낚시/곡식)</t>
  </si>
  <si>
    <t>음식엔진(곡식, 40)</t>
  </si>
  <si>
    <t>음식엔진(곡식, 36)</t>
  </si>
  <si>
    <t>돌집/음식엔진 (27)</t>
  </si>
  <si>
    <t>음식 (13)/채소</t>
  </si>
  <si>
    <t>음식(13)/채소</t>
  </si>
  <si>
    <t>초반음식/음식(18)</t>
  </si>
  <si>
    <t>음식엔진(곡식/채소/가축, 20)/점수</t>
  </si>
  <si>
    <t>음식엔진(채소, 20)</t>
  </si>
  <si>
    <t>음식엔진(곡식/외양간, 25)</t>
  </si>
  <si>
    <t>음식(10)</t>
  </si>
  <si>
    <t>음식(15)/초반음식</t>
  </si>
  <si>
    <t>음식(11)</t>
  </si>
  <si>
    <t>음식(3)</t>
  </si>
  <si>
    <t>음식(5)</t>
  </si>
  <si>
    <t>흙집/돌집/음식(12)</t>
  </si>
  <si>
    <t>울타리치기(외양간), 가축</t>
  </si>
  <si>
    <t>음식(15)</t>
  </si>
  <si>
    <t>음식(18)/곡식</t>
  </si>
  <si>
    <t>음식(25)</t>
  </si>
  <si>
    <t>음식엔진(돼지, 63)</t>
  </si>
  <si>
    <t>음식엔진(교습,21)</t>
  </si>
  <si>
    <t>초반음식/음식(7)</t>
  </si>
  <si>
    <t>음식엔진(12,농사)</t>
  </si>
  <si>
    <t>음식엔진(35,농사)</t>
  </si>
  <si>
    <t>음식엔진(39)</t>
  </si>
  <si>
    <t>딸가ㅣ포</t>
  </si>
  <si>
    <t>곡식창고 관리인</t>
  </si>
  <si>
    <t>개인교사</t>
  </si>
  <si>
    <t>토기 제작자</t>
  </si>
  <si>
    <t>과일장수</t>
  </si>
  <si>
    <t>곡식밭 안 침대</t>
  </si>
  <si>
    <t>운하의 뱃사공</t>
  </si>
  <si>
    <t>지붕 검사관</t>
  </si>
  <si>
    <t>감자 수확자ㅣ</t>
  </si>
  <si>
    <t>감자 수확자/소상인</t>
  </si>
  <si>
    <t>화덕or가마</t>
  </si>
  <si>
    <t>정원갈퀴</t>
  </si>
  <si>
    <t>감자수확자</t>
  </si>
  <si>
    <t>화덕 or 가마</t>
  </si>
  <si>
    <t>농장확장</t>
  </si>
  <si>
    <t>곡식종자</t>
  </si>
  <si>
    <t>- 카드 가치판단 잘못되어있는 것들과 흙가마가 아니라 화덕을
내려야 하는데 잘못 낼미</t>
  </si>
  <si>
    <t>- 카드 가치판단 잘못되어있는 것들과 흙가마가 아니라 화덕을
내려야 하는데 잘못 내림</t>
  </si>
  <si>
    <t>10월 12일</t>
  </si>
  <si>
    <t>무자녀 / 나무 수확하는 사람 / 부랑자</t>
  </si>
  <si>
    <r>
      <rPr>
        <b/>
        <sz val="11"/>
        <color theme="1"/>
        <rFont val="맑은 고딕"/>
      </rPr>
      <t xml:space="preserve">무자녀 / </t>
    </r>
    <r>
      <rPr>
        <sz val="11"/>
        <color theme="1"/>
        <rFont val="맑은 고딕"/>
      </rPr>
      <t xml:space="preserve">나무 수확하는 사람 / </t>
    </r>
    <r>
      <rPr>
        <b/>
        <sz val="11"/>
        <color theme="1"/>
        <rFont val="맑은 고딕"/>
      </rPr>
      <t>부랑자</t>
    </r>
  </si>
  <si>
    <t>- 이 카드를 내려놓으면 다음 수확 단계를 건너뜁니다. (가족 먹여살리기도 건너뜁니다)
※ 사람 5명일 때 썼다고 가정</t>
  </si>
  <si>
    <t>- 이 카드를 내려놓으면 다음 수확 단계를 건너뜁니다. (가족 먹여살리기도 건너뜁니다)
※ 사람 4명일 때 썼다고 가정</t>
  </si>
  <si>
    <t>꿀꾸이죽</t>
  </si>
  <si>
    <t>- 카드 가치판단 잘못되어있는 것들과 흙가마가 아니라 화덕을
내려야 하는데 잘못 내림. 보조설비 자원 미리 준비하기</t>
  </si>
  <si>
    <t>작은 바구니/곡식밭 안 침대/정원 갈퀴</t>
  </si>
  <si>
    <t>무자녀 / 소상인 / 나무 수확하는 사람 / 부랑자</t>
  </si>
  <si>
    <r>
      <rPr>
        <b/>
        <sz val="11"/>
        <color theme="1"/>
        <rFont val="맑은 고딕"/>
      </rPr>
      <t xml:space="preserve">무자녀 / </t>
    </r>
    <r>
      <rPr>
        <sz val="11"/>
        <color theme="1"/>
        <rFont val="맑은 고딕"/>
      </rPr>
      <t>소상인 /</t>
    </r>
    <r>
      <rPr>
        <b/>
        <sz val="11"/>
        <color theme="1"/>
        <rFont val="맑은 고딕"/>
      </rPr>
      <t xml:space="preserve"> </t>
    </r>
    <r>
      <rPr>
        <sz val="11"/>
        <color theme="1"/>
        <rFont val="맑은 고딕"/>
      </rPr>
      <t xml:space="preserve">나무 수확하는 사람 / </t>
    </r>
    <r>
      <rPr>
        <b/>
        <sz val="11"/>
        <color theme="1"/>
        <rFont val="맑은 고딕"/>
      </rPr>
      <t>부랑자</t>
    </r>
  </si>
  <si>
    <t>무자녀 / 나무 수확하는 사람 / 부랑자</t>
  </si>
  <si>
    <t>무자녀 / 소상인 / 나무 수확하는 사람 / 부랑자</t>
  </si>
  <si>
    <t>수석 노동장</t>
  </si>
  <si>
    <t>후원자</t>
  </si>
  <si>
    <t>- 다음부터 직업을 내려놓을 때, 직업 비용을 내기 전에 음식 2개를 가져옵니다</t>
  </si>
  <si>
    <t>음식 (교습)</t>
  </si>
  <si>
    <t>재건출</t>
  </si>
  <si>
    <t>2.5-1.25</t>
  </si>
  <si>
    <t>초반 (3, ~6R)</t>
  </si>
  <si>
    <t>중반 (5, ~11R)</t>
  </si>
  <si>
    <t>후반 (2, ~14R)</t>
  </si>
  <si>
    <t>초반음식/음식(16)</t>
  </si>
  <si>
    <t>가늘/초반음식/음식엔진(</t>
  </si>
  <si>
    <t>가늘/초반음식/음식엔진(33)</t>
  </si>
  <si>
    <t>음식엔진(10)</t>
  </si>
  <si>
    <t>음식(10)/초반음식</t>
  </si>
  <si>
    <t>음식엔진(가축, 28)</t>
  </si>
  <si>
    <t>음식엔진(갈대, )</t>
  </si>
  <si>
    <t>음식(갈대, 10)</t>
  </si>
  <si>
    <t>음식엔진 (빵 굽기)</t>
  </si>
  <si>
    <t>음식엔진 (가마)</t>
  </si>
  <si>
    <t>음식엔진(곡식, 12)</t>
  </si>
  <si>
    <t>음식엔진(나무,26)/초반음식</t>
  </si>
  <si>
    <t>음식(1)</t>
  </si>
  <si>
    <t>음식(12, 나무)</t>
  </si>
  <si>
    <t>밭/곡식</t>
  </si>
  <si>
    <t>음식(채소, 8)</t>
  </si>
  <si>
    <t>음식(농경, 8)</t>
  </si>
  <si>
    <t>음식(곡식, 12)</t>
  </si>
  <si>
    <t>아랫줄 주요설비</t>
  </si>
  <si>
    <t>목축 (화덕(</t>
  </si>
  <si>
    <t>목축 (화덕)</t>
  </si>
  <si>
    <t>농경 (곡식/가마)</t>
  </si>
  <si>
    <t>농경 (흙/돌가마)</t>
  </si>
  <si>
    <t>자원시장</t>
  </si>
  <si>
    <t>농경 (채소/화덕)</t>
  </si>
  <si>
    <t>갈돌음(바구니제작소)</t>
  </si>
  <si>
    <t>27(기본(</t>
  </si>
  <si>
    <t>27(기본)</t>
  </si>
  <si>
    <t>ㅋ</t>
  </si>
  <si>
    <t>- [Special] '자원 시장' 행동칸을 내 1/2/3/4/5번째 가족 말로 이용할 때마다, 나무/흙/갈대/돌/돌 1개를 추가로 가져옵니다</t>
  </si>
  <si>
    <t>- [Special] 곡식 3개와 음식 3개를 이 카드 위에 놓습니다. '자원 시장' 행동 칸을 이용할 때마다, 곡식 1개와 음식 1개를 이 카드 위에서 추가로 가져옵니다</t>
  </si>
  <si>
    <t>- [Special] 자원 시장' 행동 칸을 이용할 때, 흙 1개나 곡식 1개를 추가로 가져갑니다</t>
  </si>
  <si>
    <t>자원 시장</t>
  </si>
  <si>
    <t>- [Special] '주요 설비' 행동 칸을 이용한 후에, 흙 2개나 돌 2개를 적게 내고 '집 고치기' 행동을 할 수 있습니다 
※ 빠른 흙/돌집 테크의 이득 반영하여 이득 계산</t>
  </si>
  <si>
    <t>집고치기
[Special]</t>
  </si>
  <si>
    <t>집고치기 [Special]</t>
  </si>
  <si>
    <t>[Special] 곡식</t>
  </si>
  <si>
    <t>[Special] 초반</t>
  </si>
  <si>
    <t>[Special] 집고치기</t>
  </si>
  <si>
    <t>[Special] 집고치기/흙집
[방2칸 나무집]</t>
  </si>
  <si>
    <t>[Special] 집고치기 (흙집)</t>
  </si>
  <si>
    <t>[Speical] 울타리치기 (집고치기)
[13라운드 이전]</t>
  </si>
  <si>
    <t>[Speical] 집 고치기</t>
  </si>
  <si>
    <t>[Speical] 집 고치기/소</t>
  </si>
  <si>
    <t>자원 시장 테크</t>
  </si>
  <si>
    <t>[Speical] 소 [우리 1개]</t>
  </si>
  <si>
    <t>소 중심 목축</t>
  </si>
  <si>
    <t>[Special] 소</t>
  </si>
  <si>
    <t>[Special] 가축(교습)</t>
  </si>
  <si>
    <t>[Special] 돼지/채소/돌 (양)</t>
  </si>
  <si>
    <t>[Special] 가축/곡식/채소</t>
  </si>
  <si>
    <t>[Special] 가축</t>
  </si>
  <si>
    <t>[Special] 곡식/가축</t>
  </si>
  <si>
    <t>[Special] 양/소/곡식/채소</t>
  </si>
  <si>
    <t>음식(9, 설비)</t>
  </si>
  <si>
    <t>음식엔진(빵 굽기)/울타리치기</t>
  </si>
  <si>
    <t>음식엔진(14, 양) [직업 2개]</t>
  </si>
  <si>
    <t>음식엔진 (20, 나무/돌)</t>
  </si>
  <si>
    <t>음식 (4), 점수 [직업 없음]</t>
  </si>
  <si>
    <t>음식엔진/점수 (20, 곡식&amp;곡식밭)</t>
  </si>
  <si>
    <t>음식엔진 (25, 곡식)</t>
  </si>
  <si>
    <t>음식엔진 (곡식) [곡식밭 1개]</t>
  </si>
  <si>
    <t>음식 (7, 양/소) [직업 3개 이하]</t>
  </si>
  <si>
    <t>음식엔진(20, 채소)/점수</t>
  </si>
  <si>
    <t>음식/점수 (4, 소) [직업 2개]</t>
  </si>
  <si>
    <t>음식 (8, ~6R)</t>
  </si>
  <si>
    <t>음식(7) [방 3개]</t>
  </si>
  <si>
    <t>음식 (6, 곡식/채소) [직업 3개]</t>
  </si>
  <si>
    <t>음식(12, 소)</t>
  </si>
  <si>
    <t>음식 (20,곡식)</t>
  </si>
  <si>
    <t>음식 (20, 곡식)</t>
  </si>
  <si>
    <t>음식(12, 채소밭)</t>
  </si>
  <si>
    <t>음식엔진 (45, 곡식&amp;외양간)</t>
  </si>
  <si>
    <t>음식(12, 갈대) [직업 2개]</t>
  </si>
  <si>
    <t>음식(16, 갈대) [직업 2개]</t>
  </si>
  <si>
    <t>음식(6) [직업 2개]</t>
  </si>
  <si>
    <t>음식 (7)/초반음식</t>
  </si>
  <si>
    <t>음식(6, 밭)</t>
  </si>
  <si>
    <t>음식엔진 (14, 흙) [그릇 제작소 반납]</t>
  </si>
  <si>
    <t>음식(7) [6라운드 이후]</t>
  </si>
  <si>
    <t>음식 (14, 흙) [그릇 제작소 반납]</t>
  </si>
  <si>
    <t xml:space="preserve">음식 (12, 채소) [직업 3개] </t>
  </si>
  <si>
    <t xml:space="preserve">음식 (8, 채소) [직업 3개] </t>
  </si>
  <si>
    <t>음식(12, 곡식)
[소지한 곡식 2개]</t>
  </si>
  <si>
    <t>음식(5) [직업 1개]</t>
  </si>
  <si>
    <t>음식(4, 채소밭)</t>
  </si>
  <si>
    <t>음식엔진(/나무 [6라운드 이전]</t>
  </si>
  <si>
    <t>음식(18)/나무 [6라운드 이전]</t>
  </si>
  <si>
    <t>음식 (12,낚시)</t>
  </si>
  <si>
    <t>음식 (18, 곡식)</t>
  </si>
  <si>
    <t>음식엔진(48, 날품팔이)</t>
  </si>
  <si>
    <t>음식 (3, 양)</t>
  </si>
  <si>
    <t>음식(9, 빵굽기)</t>
  </si>
  <si>
    <t>음식 (8, 건축자원)</t>
  </si>
  <si>
    <t>음식(6)/점수 [곡식밭 없음]</t>
  </si>
  <si>
    <t>음식(12,나무)</t>
  </si>
  <si>
    <t>음식엔진 (채소)</t>
  </si>
  <si>
    <t>음식 (4, 채소)</t>
  </si>
  <si>
    <t>음식 (6, 나무) [직업 2개]</t>
  </si>
  <si>
    <t>음식 (6, 나무) [직업 1개]</t>
  </si>
  <si>
    <t>음식엔진(18)</t>
  </si>
  <si>
    <t>음식엔진(18, 나무)</t>
  </si>
  <si>
    <t>음식(8)</t>
  </si>
  <si>
    <t>음식 (3) [직업 없음]</t>
  </si>
  <si>
    <t>음식(12)</t>
  </si>
  <si>
    <t>음식(14, 양) [직업 2개]</t>
  </si>
  <si>
    <t>음식(18, 나무)</t>
  </si>
  <si>
    <t>ㅁ</t>
  </si>
  <si>
    <t>지역 관리자</t>
  </si>
  <si>
    <t>나무 베는 사람</t>
  </si>
  <si>
    <t>돌 구매인</t>
  </si>
  <si>
    <t>바구니 나르는사람</t>
  </si>
  <si>
    <t>갈대는 충분, 나무/돌/흙 부족</t>
  </si>
  <si>
    <t>Cattle Farm</t>
  </si>
  <si>
    <t>사냥꾼+동물거래</t>
  </si>
  <si>
    <t>바구니 나르는 사라</t>
  </si>
  <si>
    <t>틀톱+</t>
  </si>
  <si>
    <t>틀톱+큰낫일꾼</t>
  </si>
  <si>
    <t>교습(쟁기 제작자)</t>
  </si>
  <si>
    <t>선턴or가늘</t>
  </si>
  <si>
    <t>\</t>
  </si>
  <si>
    <t>쟁기제작자 교습</t>
  </si>
  <si>
    <t>갈대연못 개시</t>
  </si>
  <si>
    <t>음식 +2개로 벌기</t>
  </si>
  <si>
    <t>밭 한 번 갈기</t>
  </si>
  <si>
    <t xml:space="preserve">나무 계속 모으기 </t>
  </si>
  <si>
    <t>- 우리</t>
  </si>
  <si>
    <t>집고치기 전 틀톱</t>
  </si>
  <si>
    <t>쟁기제작자</t>
  </si>
  <si>
    <t>밭 갈기</t>
  </si>
  <si>
    <t>밭갈기</t>
  </si>
  <si>
    <t>화로</t>
  </si>
  <si>
    <t>사냥꾼 (교습)</t>
  </si>
  <si>
    <t>급가늘</t>
  </si>
  <si>
    <t>양 1마리라도 더먹기</t>
  </si>
  <si>
    <t>흙먹기</t>
  </si>
  <si>
    <t>씨뿌릴떄 주의</t>
  </si>
  <si>
    <t>10월 15일</t>
  </si>
  <si>
    <t xml:space="preserve">- 농경 엔진 흙가마 </t>
  </si>
  <si>
    <t>음식엔진(30, 빵 굽기)</t>
  </si>
  <si>
    <t>- 농경 엔진 흙가마 한 개로는 버틸 수가 없다. 무조건 서브 음식 카드들 같이 내려줘야 버티는데 행동도 부족해서 빵 굽기 카드가 필수다</t>
  </si>
  <si>
    <t>농경엔진
(흙가마)</t>
  </si>
  <si>
    <t>나무 수확하는 사람/</t>
  </si>
  <si>
    <t>[주의] 급한음식 (우리)
[우리가 차지하고 있는 칸의 개수가 완료 라운드 수 이상]</t>
  </si>
  <si>
    <t>[목축] 급한음식</t>
  </si>
  <si>
    <t>나무 수확하는 사람
바구니 나르는 사람ㄴ</t>
  </si>
  <si>
    <t>나무 수확하는 사람
바구니 나르는 사람</t>
  </si>
  <si>
    <t>- 수확 중 농장 단계마다, 정확히 나무 2개/나무 3+개가 올려진 나무 누적 행동 칸마다 나무/음식 1개를 가져옵니다
※ 2나무 1음식 받는 기준으로 계산</t>
  </si>
  <si>
    <t>흙가마 (30)</t>
  </si>
  <si>
    <t>밭/곡식 [우회칸]</t>
  </si>
  <si>
    <t>기타</t>
  </si>
  <si>
    <t>클럽 하우스 (4)</t>
  </si>
  <si>
    <t>음식/양 (3+@) [직업 3개]</t>
  </si>
  <si>
    <t>음식/양 (3~9) [직업 3개]</t>
  </si>
  <si>
    <t>말이끄는 보트</t>
  </si>
  <si>
    <t>말이 끄는 보트 (6)</t>
  </si>
  <si>
    <t>그릇 제작소 (8(</t>
  </si>
  <si>
    <t>그릇 제작소 (8)</t>
  </si>
  <si>
    <t>말이끄는 보트 (6)</t>
  </si>
  <si>
    <t>음식 (6, 외양간&amp;씨뿌리기)</t>
  </si>
  <si>
    <t>두바퀴 수레 (6)</t>
  </si>
  <si>
    <t>우회칸</t>
  </si>
  <si>
    <t>비인기 우회칸</t>
  </si>
  <si>
    <t>인기칸 우회칸</t>
  </si>
  <si>
    <t>인기칸 우회</t>
  </si>
  <si>
    <t>음식 (~11R/6, 곡식밭 3개)</t>
  </si>
  <si>
    <t>취미 목수</t>
  </si>
  <si>
    <t>- 수확 단계가 시작될 때마다, 그 직전에 음식을 내고 소를 1마리 구입할 수 있습니다. 소의 가격은 '4에서 내 농장의 우리 개수를 뺀 값'입니다. 최소 가격은 음식 0개입니다</t>
  </si>
  <si>
    <t>가늘 [우회칸]</t>
  </si>
  <si>
    <t>나무 수확하는 사람/바구니 나르는 사람/쟁기 제작자/사냥꾼</t>
  </si>
  <si>
    <t xml:space="preserve">흙가마 / 소형 온실 / 갈대 연못 / 나무 갈퀴 / 돌가마 </t>
  </si>
  <si>
    <r>
      <rPr>
        <b/>
        <sz val="11"/>
        <color theme="1"/>
        <rFont val="맑은 고딕"/>
      </rPr>
      <t xml:space="preserve">흙가마 / </t>
    </r>
    <r>
      <rPr>
        <sz val="11"/>
        <color theme="1"/>
        <rFont val="맑은 고딕"/>
      </rPr>
      <t xml:space="preserve">소형 온실 / 갈대 연못 / 나무 갈퀴 / </t>
    </r>
    <r>
      <rPr>
        <b/>
        <sz val="11"/>
        <color theme="1"/>
        <rFont val="맑은 고딕"/>
      </rPr>
      <t xml:space="preserve">돌가마 </t>
    </r>
  </si>
  <si>
    <t>제약조건</t>
  </si>
  <si>
    <t>남들보다 늦게행동</t>
  </si>
  <si>
    <t>2개 이상의 제약 있는 행동</t>
  </si>
  <si>
    <t>바로 안 들고오는 음식</t>
  </si>
  <si>
    <t>- 이 카드를 내려놓을 때 즉시, 아직 시작하지 않은 라운드 수만큼의 음식을 내고 '빈 방이 없어도 가족 늘리기' 행동을 할 수 있습니다
※ 11라운드에 사용하는 기준으로 계산</t>
  </si>
  <si>
    <t>급한 가늘 [우회칸]</t>
  </si>
  <si>
    <t>- 이 카드를 내려놓으면, 즉시 나무 1개를 가져옵니다. 일하기 단계가 끝날때마다, 개인 창고에 흙보다 돌이 더 많다면 나무 1개를 가져옵니다
※ 12라운드 효과 발동 기준으로 계산</t>
  </si>
  <si>
    <t>음식엔진1</t>
  </si>
  <si>
    <t>음식엔진2\</t>
  </si>
  <si>
    <t>음식엔진2</t>
  </si>
  <si>
    <t>30 (흙가마)</t>
  </si>
  <si>
    <t>- 5라운드 또는 그 이후에 이 카드를 내려놓았다면, 즉시 돌 1개, 곡식 1개, 채소 1개, 양 1개를 내고 '빈 방이 없어도 가족 늘리기' 행동을 할 수 있습니다
※  9라운드 사용 기준으로 계산</t>
  </si>
  <si>
    <t>음식(12)/채소</t>
  </si>
  <si>
    <t>초반음식/음식(14)</t>
  </si>
  <si>
    <t>가압류 진행관</t>
  </si>
  <si>
    <t>새로 일군 밭</t>
  </si>
  <si>
    <t>개척정신</t>
  </si>
  <si>
    <t>가축상이</t>
  </si>
  <si>
    <t>경질 자기\</t>
  </si>
  <si>
    <t>교습(흙집 건축업자)</t>
  </si>
  <si>
    <t>목수 도기</t>
  </si>
  <si>
    <t>10월 16일</t>
  </si>
  <si>
    <t>- 음식엔진부터 신경써주는게 진리인게 괜히 그런게 아님</t>
  </si>
  <si>
    <t>- 음식엔진부터 신경써주는게 진리인게 괜히 그런게 아님
중간에 개척정신이랑 몇 장 날려먹었는데도 버텨왔다</t>
  </si>
  <si>
    <t>목축엔진+흙집</t>
  </si>
  <si>
    <t>나무 정원사/흙집 건축업자/축산업자/가축상인/가축 관리자</t>
  </si>
  <si>
    <t>개척 정신 / 경질 자기</t>
  </si>
  <si>
    <t>이동 경작가</t>
  </si>
  <si>
    <t>- [양이 딱 1마리라면] 이 카드를 내려놓으면 다른 모든 플레이어들은 음식 1개를 가져갑니다.</t>
  </si>
  <si>
    <t>나무 망칭</t>
  </si>
  <si>
    <t>감자 직판기</t>
  </si>
  <si>
    <t>곡식밭 안  침대</t>
  </si>
  <si>
    <t>가마자리</t>
  </si>
  <si>
    <t>공예 후원자</t>
  </si>
  <si>
    <t>공혜 후원자</t>
  </si>
  <si>
    <t xml:space="preserve">나무경비원 </t>
  </si>
  <si>
    <t xml:space="preserve">상자제작자 </t>
  </si>
  <si>
    <t>10월 20일</t>
  </si>
  <si>
    <t>소상인 중심 흙 콤보</t>
  </si>
  <si>
    <t>우리 짓기 명구</t>
  </si>
  <si>
    <r>
      <rPr>
        <b/>
        <sz val="11"/>
        <color theme="1"/>
        <rFont val="맑은 고딕"/>
      </rPr>
      <t>소상인</t>
    </r>
  </si>
  <si>
    <t>소상인/나무 경비원</t>
  </si>
  <si>
    <r>
      <rPr>
        <b/>
        <sz val="11"/>
        <color theme="1"/>
        <rFont val="맑은 고딕"/>
      </rPr>
      <t>소상인</t>
    </r>
    <r>
      <rPr>
        <sz val="11"/>
        <color theme="1"/>
        <rFont val="맑은 고딕"/>
      </rPr>
      <t>/</t>
    </r>
    <r>
      <rPr>
        <b/>
        <sz val="11"/>
        <color theme="1"/>
        <rFont val="맑은 고딕"/>
      </rPr>
      <t>나무 경비원</t>
    </r>
  </si>
  <si>
    <t>농장 상점 / 혼합 벽토 / 아늑한 집 / 그릇 제작소 / 바구니 제작소 / 도시 세트장</t>
  </si>
  <si>
    <r>
      <rPr>
        <sz val="11"/>
        <color theme="1"/>
        <rFont val="맑은 고딕"/>
      </rPr>
      <t xml:space="preserve">농장 상점 / 혼합 벽토 / 아늑한 집 / </t>
    </r>
    <r>
      <rPr>
        <b/>
        <sz val="11"/>
        <color theme="1"/>
        <rFont val="맑은 고딕"/>
      </rPr>
      <t xml:space="preserve">그릇 제작소 / 바구니 제작소 / </t>
    </r>
    <r>
      <rPr>
        <sz val="11"/>
        <color theme="1"/>
        <rFont val="맑은 고딕"/>
      </rPr>
      <t>도시 세트장</t>
    </r>
  </si>
  <si>
    <t>소상인/나무 경비원 / 벽화 그리는 사람</t>
  </si>
  <si>
    <r>
      <rPr>
        <sz val="11"/>
        <color theme="1"/>
        <rFont val="맑은 고딕"/>
      </rPr>
      <t>소상인/나무 경비원 / 벽화 그리는 사람</t>
    </r>
  </si>
  <si>
    <t>목재 장인</t>
  </si>
  <si>
    <t>나무 공예ㅒ</t>
  </si>
  <si>
    <t>조건있음</t>
  </si>
  <si>
    <t>설치 조건 개수</t>
  </si>
  <si>
    <t>[채소] 음식엔진(채소, 20)</t>
  </si>
  <si>
    <t>(0.58</t>
  </si>
  <si>
    <t>음식(6)</t>
  </si>
  <si>
    <t>2.5+0.3</t>
  </si>
  <si>
    <t>- 집을 고칠 때마다, 음식 2개와 외양간이 있는 우리마다 그 우리에서 키우고 있는 종류의 가축 1마리씩을 공동 창고에서 가져옵니다</t>
  </si>
  <si>
    <t>음식(5)/곡식(2)</t>
  </si>
  <si>
    <t>- 이 카드를 내려놓을 때, 다음 물건들 중 개인 창고에 적어도 2개 이상 가지고 있는 물건들을 각각 1개씩 가져옵니다: 음식, 곡식, 채소, 갈대, 나무
※ 음식/갈대/나무/곡식 1개씩 받는 기준</t>
  </si>
  <si>
    <t>- 아무 플레이어(이 카드를 낸 플레이어 포함)나 누적 칸에서 한 번에 물건을 5/6/7/8개 이상 가져갈 때마다, 당신은 공동 창고에서 나무/흙/갈대/돌 1개를 가져옵니다
※ 돌빼고 각각 1.5개 가져온다고 하고 계산</t>
  </si>
  <si>
    <t>- 이 카드 위에 양을 키울 수 있습니다. 이 카드 위에 키울 수 있는 양의 최대 마리 수는 지금까지 완료된 '가족 먹여살리기 횟수'와 같습니다
※ 번식 3번하는 기준으로 계산</t>
  </si>
  <si>
    <t>- 매 라운드 집에 돌아오기 단계마다, '교습' 행동 칸에서 그 누구의 가족 말도 돌아오지 않았다면, 음식 1개를 내고 직업 카드 1장을 내려놓을 수 있습니다
※  3번 이용했다고 가정</t>
  </si>
  <si>
    <t>빠른 집고치기가 가능함</t>
  </si>
  <si>
    <t>모든 설비 비용과 방 만들기, 집고치기의 돌이 할인됨</t>
  </si>
  <si>
    <t>두 번재 배우자</t>
  </si>
  <si>
    <t>오물 구덩이 (밭 2개와 직업 1개)</t>
  </si>
  <si>
    <t>목축 업자</t>
  </si>
  <si>
    <t>점토 채굴장</t>
  </si>
  <si>
    <t>갈대2</t>
  </si>
  <si>
    <t>나무나 농지?</t>
  </si>
  <si>
    <t>누적칸 괜찮은거</t>
  </si>
  <si>
    <t>10월 21일</t>
  </si>
  <si>
    <t>어린소 오물구덩이 목축</t>
  </si>
  <si>
    <t>어린소 오물 구덩이 목축</t>
  </si>
  <si>
    <t>개망했다.. 그냥 원래 하던 대로 겜하는게 나을 것 같다</t>
  </si>
  <si>
    <t>목장 감독관 / 취미 목수</t>
  </si>
  <si>
    <t>잔디 비료 / 어린 소 / 화덕</t>
  </si>
  <si>
    <t>잔디 비료 / 어린 소 / 화덕 / 오물 구덩이 / 땅 파는 삽 / 끝없는 굶주림</t>
  </si>
  <si>
    <r>
      <t xml:space="preserve">잔디 비료 / 어린 소 / </t>
    </r>
    <r>
      <rPr>
        <b/>
        <sz val="11"/>
        <color theme="1"/>
        <rFont val="맑은 고딕"/>
      </rPr>
      <t>화덕</t>
    </r>
    <r>
      <rPr>
        <sz val="11"/>
        <color theme="1"/>
        <rFont val="맑은 고딕"/>
      </rPr>
      <t xml:space="preserve"> / 오물 구덩이 / 땅 파는 삽 / 끝없는 굶주림</t>
    </r>
  </si>
  <si>
    <t>어린 예술가</t>
  </si>
  <si>
    <t>작은 동물 사용사</t>
  </si>
  <si>
    <t>갈대지기</t>
  </si>
  <si>
    <t>돌대가리</t>
  </si>
  <si>
    <t>방만들고 외양간 2개</t>
  </si>
  <si>
    <t>울타리 나무 12개만</t>
  </si>
  <si>
    <t>나무 9개</t>
  </si>
  <si>
    <t>방만들고 외양간 3개</t>
  </si>
  <si>
    <t>날품 콤보</t>
  </si>
  <si>
    <t>집고치기 갈대 하나 먹는거 까먹어서 망함. 끝까지 방심하지말고 집중할 것
그리고 항상 맘이 너무 급해서 빠르게 하다가 더 쳐지는듯</t>
  </si>
  <si>
    <t xml:space="preserve">농번기 일꾼 / 보조 경작자 / 여물통 / 가게 보는 사람 </t>
  </si>
  <si>
    <t>폐쇄형 발코니 창 / 형제의 우애 / 우수 농가 인증</t>
  </si>
  <si>
    <t>- 이 카드 위에 나무 6개를 놓습니다. (이 카드를 포함한) 손의 카드를 내려놓을 때마다, 이 카드에서 나무 1개를 가져옵니다.</t>
  </si>
  <si>
    <t>집고치기 갈대 하나 먹는거 까먹어서 망함. 끝까지 방심하지말고 집중할 것
그리고 항상 맘이 너무 급해서 빠르게 하다가 더 쳐지는듯
날품을 좀 적당히 하고 나무도 우선순위를 끌여올렸으면 어땠을까 좀 아쉬움</t>
  </si>
  <si>
    <t>Lumin 티어</t>
  </si>
  <si>
    <t>Lumin티어</t>
  </si>
  <si>
    <t>ECR</t>
  </si>
  <si>
    <t>Chris's Ranks</t>
  </si>
  <si>
    <t>Ryan's Ranks</t>
  </si>
  <si>
    <t>Lumin's Ranks</t>
  </si>
  <si>
    <t>Card Name</t>
  </si>
  <si>
    <t>Card Image</t>
  </si>
  <si>
    <t>Economic Purpose</t>
  </si>
  <si>
    <t>Bonus Pts.</t>
  </si>
  <si>
    <t>Key Requirement(s)</t>
  </si>
  <si>
    <t>Key Action Space(s)</t>
  </si>
  <si>
    <t>Tier</t>
  </si>
  <si>
    <t>Notes</t>
  </si>
  <si>
    <t>Braggart</t>
  </si>
  <si>
    <t>None</t>
  </si>
  <si>
    <t>0 - 9</t>
  </si>
  <si>
    <t>S</t>
  </si>
  <si>
    <t>The highest point ceiling across almost every set and the requirements are just not challenging. The one thing to watch for is your economy as it's rare to not have a strong economic first occ.</t>
  </si>
  <si>
    <t>Assistant Tiller</t>
  </si>
  <si>
    <t>Plows</t>
  </si>
  <si>
    <t>Day Labourer</t>
  </si>
  <si>
    <t>A</t>
  </si>
  <si>
    <t>Compared to original Agricola, plows are surprisingly tough to get. So getting early food with some fields, and the wide combo potential, make the Tiller a top pick.</t>
  </si>
  <si>
    <t>Childless</t>
  </si>
  <si>
    <t>Food + Grain + Vegetable</t>
  </si>
  <si>
    <t>3 Rooms Minimum + 2 Family Members Maximum</t>
  </si>
  <si>
    <t>Lets you take advantage of other players fighting for spots in the growth queue, and you can just Wish for Children when it's easy to - while acquiring your whole game's worth of crops.</t>
  </si>
  <si>
    <t>Grocer</t>
  </si>
  <si>
    <t>Wood + Reed + Stone + Clay + Grain + Vegetable</t>
  </si>
  <si>
    <t xml:space="preserve">This Grocer is that friendly neighbourhood small business owner that always has fresh produce, all the household supplies you need, and prices are downright honest. </t>
  </si>
  <si>
    <t>Roof Ballaster</t>
  </si>
  <si>
    <t>Stone</t>
  </si>
  <si>
    <t>Roof Ballaster is this end-of-game trump card that can make renovating to stone trivial. As renovations are so point-efficient it can be a huge late game boost.</t>
  </si>
  <si>
    <t>House Steward</t>
  </si>
  <si>
    <t>Wood</t>
  </si>
  <si>
    <t>0 - 3</t>
  </si>
  <si>
    <t>The first of many "4 wood community bonus" cards, there is an obvious synergy here where the wood boost helps you win the bonus points. If you're playing it, aim for 5+ rooms.</t>
  </si>
  <si>
    <t>Plow Driver</t>
  </si>
  <si>
    <t>Stone House</t>
  </si>
  <si>
    <t>Undoubtedly the best stone house occupation in the Revised Base set. See comment for Assistant Tiller.</t>
  </si>
  <si>
    <t>Sheep Walker</t>
  </si>
  <si>
    <t>Pigs + Vegetables + Stone</t>
  </si>
  <si>
    <t>Even though the ERRATA corrects this to only work with sheep you already have, the flexibility with breeding sheep and its combo potential is huge.</t>
  </si>
  <si>
    <t>Seasonal Worker</t>
  </si>
  <si>
    <t>Grain + Vegetable</t>
  </si>
  <si>
    <t>B</t>
  </si>
  <si>
    <t>Get your crops figured out with some otherwise weak early game actions, and hopefully you find some other Day Labor effects to really make it shine.</t>
  </si>
  <si>
    <t>Conjurer</t>
  </si>
  <si>
    <t>Wood + Grain</t>
  </si>
  <si>
    <t>Travelling Players</t>
  </si>
  <si>
    <t>Wood and grain are both great early game resources. Don't try to take Traveling Players for the first time in Round 3 though! Much better tempo in Round 2.</t>
  </si>
  <si>
    <t>Scholar</t>
  </si>
  <si>
    <t>Actions</t>
  </si>
  <si>
    <t>Scholar can be a solid mid game boost to your actions. Increases in value if you can combo with some of the other stone house cards and other good late game occupations</t>
  </si>
  <si>
    <t>Stone Cutter</t>
  </si>
  <si>
    <t>The Stone cutter is thematic in that this is a hardworking, solid, but not super exciting card.</t>
  </si>
  <si>
    <t>Tutor</t>
  </si>
  <si>
    <t>0 - 6</t>
  </si>
  <si>
    <t>Occupations</t>
  </si>
  <si>
    <t>This set is short on bonus points. It's tricky to time a lot of occupations well while also getting Tutor down, but if you figure out the tempo to work it in it'll be great.</t>
  </si>
  <si>
    <t>Firewood Collector</t>
  </si>
  <si>
    <t>Farmland, Grain Seeds, Grain Utilization, Cultivation</t>
  </si>
  <si>
    <t>C</t>
  </si>
  <si>
    <t>A nice steady wood dribble for those that are planning to plow and farm the hard-way.</t>
  </si>
  <si>
    <t>Conservator</t>
  </si>
  <si>
    <t>Clay + Reed Discount (Reno)</t>
  </si>
  <si>
    <t>This seems like it saves resources and an action, but renovation+imp is point efficient already so you're skipping turns you want to take. Can be strong in making fast reno strats work.</t>
  </si>
  <si>
    <t>Master Bricklayer</t>
  </si>
  <si>
    <t>On its face it can save a lot of stone, but often you won't get nearly as many Major Improvements as you dream of. The #1 solo game occupation.</t>
  </si>
  <si>
    <t>Priest</t>
  </si>
  <si>
    <t>Clay + Reed + Stone</t>
  </si>
  <si>
    <t>Clay House + 2 Rooms Only</t>
  </si>
  <si>
    <t>A massive injection of resources and one of the kings of the small house strat or reno-early strategies. Becomes more powerful in later sets that allow for earlier renovations.</t>
  </si>
  <si>
    <t>Small-Scale Farmer</t>
  </si>
  <si>
    <t>2 Rooms Only</t>
  </si>
  <si>
    <t>Usually a few early wood, and sometimes with enough small house support you'll be able to get all 13 wood from it.</t>
  </si>
  <si>
    <t>Carpenter</t>
  </si>
  <si>
    <t>Wood/Clay/Stone Discount (Rooms)</t>
  </si>
  <si>
    <t>Decent on its own to make getting to 4 rooms a breeze; solid when you know House Steward is likely to be played.</t>
  </si>
  <si>
    <t>Harpooner</t>
  </si>
  <si>
    <t>Food + Reed</t>
  </si>
  <si>
    <t>Fishing</t>
  </si>
  <si>
    <t>Great for games where you're expecting to grow fast and furious. Be careful to not spend too much wood for this effect, and try not to inject too much reed without using the reed.</t>
  </si>
  <si>
    <t>Scythe Worker</t>
  </si>
  <si>
    <t>Grain</t>
  </si>
  <si>
    <t>Can either help you maximize grain points in the end game, or bake bread more frequently. Remember it can be played after sowing with good effect.</t>
  </si>
  <si>
    <t>Brushwood Collector</t>
  </si>
  <si>
    <t>Reed Discount (Rooms + Reno)</t>
  </si>
  <si>
    <t>Much better in a 3-player game where there's less reed. Can be a solid combo card for big houses.</t>
  </si>
  <si>
    <t>Adoptive Parents</t>
  </si>
  <si>
    <t>Modest Wish for Children, Urgent Wish for Children</t>
  </si>
  <si>
    <t>In big family games we're trading 4 food + an action for 3 actions. So 2 food/action. That's pretty sweet, but we have to find the tempo to get this down and also grow to 5 to make this worth it.</t>
  </si>
  <si>
    <t>Animal Dealer</t>
  </si>
  <si>
    <t>Animals</t>
  </si>
  <si>
    <t>Sheep Market, Pig Market, Cattle Market</t>
  </si>
  <si>
    <t>Needs a Cooking Hearth or multiple empty pastures, and a bigger family, to really provide value</t>
  </si>
  <si>
    <t>Storehouse Keeper</t>
  </si>
  <si>
    <t>Grain + Clay</t>
  </si>
  <si>
    <t>Resource Market</t>
  </si>
  <si>
    <t>Don't use this for clay unless you really, really need that 1 clay immediately. The inherent synergy of early grain and early ovens here is what makes this card shine.</t>
  </si>
  <si>
    <t>Hedge Keeper</t>
  </si>
  <si>
    <t>Wood Discount (Fencing)</t>
  </si>
  <si>
    <t>Fences</t>
  </si>
  <si>
    <t>Hedge Keeper can be a finicky card to use right. Hypothetically it makes fencing actions 3 wood actions, right? But leaving all that wood for opponents can depress it's value.</t>
  </si>
  <si>
    <t>Clay Hut Builder</t>
  </si>
  <si>
    <t>Clay</t>
  </si>
  <si>
    <t>Clay House</t>
  </si>
  <si>
    <t>Generally, Clay Hut Builder shines when the 10 clay it pays off is used to build a fourth room of clay. Tempo-wise it can be very strong in that way.</t>
  </si>
  <si>
    <t>Manservant</t>
  </si>
  <si>
    <t>Food</t>
  </si>
  <si>
    <t xml:space="preserve">Manservant is a solid late game food option on its own, but really shines when comboed with a Scholar and/or Plowdriver. </t>
  </si>
  <si>
    <t>Cottager</t>
  </si>
  <si>
    <t>Access</t>
  </si>
  <si>
    <t>Cottager is a solid add-on to the primary Day Laborer occupations, or to renovate ultra-quickly for Clay Hut Builder, Mantelpiece, etc.</t>
  </si>
  <si>
    <t>Groom</t>
  </si>
  <si>
    <t>Wood Discount (Stables)</t>
  </si>
  <si>
    <t>D</t>
  </si>
  <si>
    <t>3 wood for 4+ points is a solid tradeoff. IF you're already doing other stone house things.</t>
  </si>
  <si>
    <t>Organic Farmer</t>
  </si>
  <si>
    <t>0 - 4</t>
  </si>
  <si>
    <t>Good way to squeeze 1-3 points out of your last action of the game, when you might be out of other ways to score.</t>
  </si>
  <si>
    <t>Mushroom Collector</t>
  </si>
  <si>
    <t>Wood Accumulation</t>
  </si>
  <si>
    <t>Is Mushroom Collector a food engine? No, no it is not. It does encourage you to do something great though, and that is spam taking wood.</t>
  </si>
  <si>
    <r>
      <t>Is Mushroom Collector a food engine?</t>
    </r>
    <r>
      <rPr>
        <b/>
        <sz val="11"/>
        <color theme="1"/>
        <rFont val="Avenir"/>
      </rPr>
      <t xml:space="preserve"> </t>
    </r>
    <r>
      <rPr>
        <b/>
        <i/>
        <sz val="11"/>
        <color theme="1"/>
        <rFont val="Avenir"/>
      </rPr>
      <t>No, no it is not.</t>
    </r>
    <r>
      <rPr>
        <sz val="11"/>
        <color theme="1"/>
        <rFont val="Avenir"/>
      </rPr>
      <t xml:space="preserve"> It does encourage you to do something great though, and that is spam taking wood.</t>
    </r>
  </si>
  <si>
    <t>Wood Cutter</t>
  </si>
  <si>
    <t>Wood Cutter is less impactful than it first appears because of how much wood it puts into the game. Match Wood Cutter with big wood requirements.</t>
  </si>
  <si>
    <t>Animal Tamer</t>
  </si>
  <si>
    <t>Wood or Grain + Animals (Capacity)</t>
  </si>
  <si>
    <t>While thematically the random grain you can get here is weird, this is a nice late draft pick if you haven't found another way of generating grain. The capacity is a nice-to-have bonus.</t>
  </si>
  <si>
    <t>Greengrocer</t>
  </si>
  <si>
    <t>Vegetables</t>
  </si>
  <si>
    <t>Grain Seeds</t>
  </si>
  <si>
    <t>Grain Seeds is not a good action, and getting veggies early is overrated.</t>
  </si>
  <si>
    <t>Stable Architect</t>
  </si>
  <si>
    <t>Good if you get fence-blocked, maybe? It has a couple combos with expansion cards that better enable it.</t>
  </si>
  <si>
    <t>Frame Builder</t>
  </si>
  <si>
    <t>Clay Discount (Rooms + Reno) + Stone Discount (Rooms + Reno)</t>
  </si>
  <si>
    <t>Decent combo card, can help enable early renovation strategies if you miss out on early clay or Resource Market actions.</t>
  </si>
  <si>
    <t>Pastor</t>
  </si>
  <si>
    <t>Stone + Wood + Clay + Reed</t>
  </si>
  <si>
    <t>Quite powerful when you're last to build, but we're very rarely going to want to go down that path if we're not focussing on two house combos.</t>
  </si>
  <si>
    <t>Pig Breeder</t>
  </si>
  <si>
    <t>Animals (Pigs)</t>
  </si>
  <si>
    <t>A lonely pig and a lonely man. Can be a good 2 point play if pigs are unavailable in the late game, making it a happy last draft pick.</t>
  </si>
  <si>
    <t>Geologist</t>
  </si>
  <si>
    <t>Forest, Reed Bank, Clay Pit</t>
  </si>
  <si>
    <t>Maybe the drips of clay will actually help you. But probably not. This card gets exponentially better at lower player counts where clay is scarcer; it's the #1 2-player occupation.</t>
  </si>
  <si>
    <t>Cattle Feeder</t>
  </si>
  <si>
    <t>Animals (Cattle)</t>
  </si>
  <si>
    <t>Grain Seeds is not a good action, and... wait, what are you going to do with that cow???</t>
  </si>
  <si>
    <t>Sheep Whisperer</t>
  </si>
  <si>
    <t>Animals (Sheep)</t>
  </si>
  <si>
    <t>Can be a good value if you have early space to breed animals, or have a Fireplace without other solid sources of food (does that ever happen?)</t>
  </si>
  <si>
    <t>Lutenist</t>
  </si>
  <si>
    <t>Food + Wood + Vegetable</t>
  </si>
  <si>
    <t>Traveling Players doesn't get taken with any regularity in most games.</t>
  </si>
  <si>
    <t>Consultant</t>
  </si>
  <si>
    <t>Sheep</t>
  </si>
  <si>
    <t>A nice, easy, simple way to get breeding sheep. A much stronger card when sheep are vital.</t>
  </si>
  <si>
    <t>Paper Maker</t>
  </si>
  <si>
    <t>You could spend wood to get food, but why not try to spend wood on good things and get food in one of the million other ways?</t>
  </si>
  <si>
    <t>Roughcaster</t>
  </si>
  <si>
    <t>F</t>
  </si>
  <si>
    <t>Roughcaster is just a bit underwhelming and is not super playable, as in plenty of gameplans it's exactly 3 food. Play with Cottager + Loam Pit.</t>
  </si>
  <si>
    <t>Wall Builder</t>
  </si>
  <si>
    <t>Farm Expansion</t>
  </si>
  <si>
    <t>This is in a class of occs that stuggle for tempo considerations. It's hard to make a nothing move for a dribble of food before your first room.</t>
  </si>
  <si>
    <t>Oven Firing Boy</t>
  </si>
  <si>
    <t>Food (Baking Bread)</t>
  </si>
  <si>
    <t>If spending a move on this card is worth it, something has gone seriously wrong. There are like, 2 fun combos with it in the expansion decks and that's it.</t>
  </si>
  <si>
    <t>설비 (가마/제작소)</t>
  </si>
  <si>
    <t>가마 (곡식/빵굽기)</t>
  </si>
  <si>
    <t>화덕 (목축)</t>
  </si>
  <si>
    <t>화덕 (채소)</t>
  </si>
  <si>
    <t>1. 첫번째 카드를 1티어 카드로 뽑고, 음식엔진 노선을 그 카드로 맞춰서 정한다
2. 첫번째 카드에 1티어가 없다면 가장 연계가 잘 되는 2티어 직업+보조 설비를 뽑는다
3. 1티어카드와 음식엔진에 최적화된 카드로 뒤쪽 카드를 집어준다</t>
  </si>
  <si>
    <t>1. 첫번째 카드를 1티어 카드로 뽑고, 음식엔진 노선을 그 카드로 맞춰서 정한다
2. 첫번째 카드에 1티어가 없다면 가장 연계가 잘 되는 2티어 직업+보조 설비를 뽑는다
3. 1티어 카드와 음식엔진에 최적화된 카드로 뒤쪽 카드를 집어준다</t>
  </si>
  <si>
    <t>Printed Pts.</t>
  </si>
  <si>
    <t>Passing Minor?</t>
  </si>
  <si>
    <t>Usability Stars</t>
  </si>
  <si>
    <t>Impact Stars</t>
  </si>
  <si>
    <t>Caravan</t>
  </si>
  <si>
    <t>Growth</t>
  </si>
  <si>
    <t>No</t>
  </si>
  <si>
    <t>S^2</t>
  </si>
  <si>
    <t>First pick always. Should be banned. Allows SP into growth, early game action advantage, and combos very well with small-house cards.</t>
  </si>
  <si>
    <t>Big Country</t>
  </si>
  <si>
    <t>0 - 8</t>
  </si>
  <si>
    <t>Can be the centrepiece of an entire strategy. Offers a massive food infusion and encourages a beautiful farm.</t>
  </si>
  <si>
    <t>Loom</t>
  </si>
  <si>
    <t>The only combo of economy + printed pts. + bonus pts. in the base set, and sheep are plentiful. Strong across almost every setup.</t>
  </si>
  <si>
    <t>Carpenter's Parlor</t>
  </si>
  <si>
    <t>Wood Discount (Rooms)</t>
  </si>
  <si>
    <t>The best discounter in the game, needing just 6 wood for 3 rooms helps accelerate family growth.</t>
  </si>
  <si>
    <t>Sleeping Corner</t>
  </si>
  <si>
    <t>While it's not often easy to get two planted grain fields early, late Sleeping Corner grants access to unblockable urgent wish - huge for small-house strategies.</t>
  </si>
  <si>
    <t>Mantlepiece</t>
  </si>
  <si>
    <t>This card gets much more powerful with expansion cards offering earlier access to renos. Still big ceiling.</t>
  </si>
  <si>
    <t>Moldboard Plow</t>
  </si>
  <si>
    <t>Farmland</t>
  </si>
  <si>
    <t>With minimal plow support in the base set, moldboard is a fantastic path to our desired 5 plows. Two farmlands and one cultivation!</t>
  </si>
  <si>
    <t>Beanfield</t>
  </si>
  <si>
    <t>Crops</t>
  </si>
  <si>
    <t>One food for one printed point and a plantable field with a req that you'll hit in 90%+ of games is just always good.</t>
  </si>
  <si>
    <t>Loam Pit</t>
  </si>
  <si>
    <t>Day Laborer</t>
  </si>
  <si>
    <t>Loam pit, like Beanfield is one point for one food, making it default good. Paired with other Day Laborer cards this card is nasty.</t>
  </si>
  <si>
    <t>Rammed Clay</t>
  </si>
  <si>
    <t>Rammed clay is a comfort card as it makes fence 15 trivial. It's also free making it a great 4th seat pickup.</t>
  </si>
  <si>
    <t>Mining Hammer</t>
  </si>
  <si>
    <t>Sneaky powerful, encourages mega efficient reno actions and acts as ~2 bonus pts. + stable economic boost.</t>
  </si>
  <si>
    <t>Mini Pasture</t>
  </si>
  <si>
    <t>Yes</t>
  </si>
  <si>
    <t>Be wary of this card as it is base set's only sheep stealer. Someone can SP into a big pile of sheep and ruin your feeding.</t>
  </si>
  <si>
    <t>Butter Churn</t>
  </si>
  <si>
    <t>Pair this with Loom where possible. Combo of easy food + printed points for a very low costs.</t>
  </si>
  <si>
    <t>Strawberry Patch</t>
  </si>
  <si>
    <t>Nice point ceiling + food combo. Easy to play with one of the cards providing 2 vegetables, otherwise aim to play it for 2vp in Round 14.</t>
  </si>
  <si>
    <t>Lumber Mill</t>
  </si>
  <si>
    <t>Wood Discount (Improvements)</t>
  </si>
  <si>
    <t>The wood discount can be sneaky good in some drafts. Can be great played early or late.</t>
  </si>
  <si>
    <t>Milk Jug</t>
  </si>
  <si>
    <t>Cattle Market</t>
  </si>
  <si>
    <t>Much more playable than other one clay minors because we're happy playing this late game. In base set, it's a weirdly reliable food boost.</t>
  </si>
  <si>
    <t>Shifting Cultivation</t>
  </si>
  <si>
    <t xml:space="preserve">Similar to handplow, two food for a plow is wonderful in this setup. Keep in mind this will pass around the table making plows more plentiful. </t>
  </si>
  <si>
    <t>Threshing Board</t>
  </si>
  <si>
    <t>Farmland + Cultivation</t>
  </si>
  <si>
    <t>First pick in some strategies, enables synergistic bread baking and plowing. Best bread baking enabler in the game.</t>
  </si>
  <si>
    <t>Bottles</t>
  </si>
  <si>
    <t>Trying to play this for the minimum cost is often wrong because of the food + clay tempo loss. Fantastic ceiling card.</t>
  </si>
  <si>
    <t>Pond Hut</t>
  </si>
  <si>
    <t>Can be played early or mid game for a small food infusion and printed points. Fits tempo-wise with first growth often.</t>
  </si>
  <si>
    <t>Handplow</t>
  </si>
  <si>
    <t>One wood for one plow is a dream in this set. Easy to play, melds well with your first family growth.</t>
  </si>
  <si>
    <t>Acorns Basket</t>
  </si>
  <si>
    <t>Two pigs is a good number of pigs. Thematically I love this card, like we're leaving a trail of acorns for each little pig each round.</t>
  </si>
  <si>
    <t>Shepherd's Crook</t>
  </si>
  <si>
    <t>Pairs nicely with manger to get quad sheeps, and boost other strong cards (Loom, Butter Churn)</t>
  </si>
  <si>
    <t>Manger</t>
  </si>
  <si>
    <t>Covering 10 spaces with fences is wrong without Big Country, but 8 is often right, and in these cases Manger is fantastic.</t>
  </si>
  <si>
    <t>Sack Cart</t>
  </si>
  <si>
    <t>Crops (Grain)</t>
  </si>
  <si>
    <t>Can be hard to get out early because of the two wood cost + two occ req. Can skip the first payout and still take care of your grain no sweat.</t>
  </si>
  <si>
    <t>Clearing Spade</t>
  </si>
  <si>
    <t>The Clearing Spade dream is to plant one grain and one veggie into 5 unplanted fields and harvest your whole bounty; can replace normal crop sources</t>
  </si>
  <si>
    <t>Corn Scoop</t>
  </si>
  <si>
    <t>Grain seeds is an underwhelming action, but doubling that action makes it better. Can combo to be more impactful.</t>
  </si>
  <si>
    <t>Canoe</t>
  </si>
  <si>
    <t>Reed + Food</t>
  </si>
  <si>
    <t>Fishing synergy makes Canoe a much, much bigger priority. Harpooner and/or BMW paired with Canoe in particular is wonderful.</t>
  </si>
  <si>
    <t>Bread Paddle</t>
  </si>
  <si>
    <t>Occupation</t>
  </si>
  <si>
    <t>Bread Paddle for some drafts is a much, much stronger card. It enables consistent baking with your mid + late occs</t>
  </si>
  <si>
    <t>Large Greenhouse</t>
  </si>
  <si>
    <t>Crops (Vegetables)</t>
  </si>
  <si>
    <t>Can be hard to get out early because of the two wood cost + two occ req. Can lose the last one and still take full care of your veggies no sweat.</t>
  </si>
  <si>
    <t>Wool Blankets</t>
  </si>
  <si>
    <t>Wool Blankets is free point ceiling, but only when you have sheep and don't want to reno to stone. Solid with Mantelpiece or small-house strategy</t>
  </si>
  <si>
    <t>Stone Tongs</t>
  </si>
  <si>
    <t>Stone Accumulation</t>
  </si>
  <si>
    <t>Easy to play and easy to use. That little bit of extra stone can help you reach your point ceiling and gobble up the majors.</t>
  </si>
  <si>
    <t>Hard Porcelain</t>
  </si>
  <si>
    <t>One of the nicest ways to get your ovens, and plays nicely into big major improvement gameplans.</t>
  </si>
  <si>
    <t>Thick Forest</t>
  </si>
  <si>
    <t>It is very tricky to get your 5 clay pile early enough, and then pause to pay thick forest. If the natural flow of the game allows it - this is awesome.</t>
  </si>
  <si>
    <t>Lasso</t>
  </si>
  <si>
    <t>Sheep Market + Pig Market + Cattle Market</t>
  </si>
  <si>
    <t>At first blush this card seems more powerful than it is. Feels awesome to skip over and play a double move, but it is situational.</t>
  </si>
  <si>
    <t>Drinking Trough</t>
  </si>
  <si>
    <t>The added animal capacity is sometimes welcome late game but often taking wood and building two stables is more impactful.</t>
  </si>
  <si>
    <t>Claypipe</t>
  </si>
  <si>
    <t>Claypipe becomes substantially better when paired with a Wood Cutter or Geologist, but it is hard to pay early clay to get this down.</t>
  </si>
  <si>
    <t>Scullery</t>
  </si>
  <si>
    <t>It can be hard tempo-wise to grab clay and play this for no immediate gain. Best when no-reno gameplan is on.</t>
  </si>
  <si>
    <t>Junk Room</t>
  </si>
  <si>
    <t>It can be hard tempo-wise to grab clay and play this for no immediate gain. Great dribble of food when in play.</t>
  </si>
  <si>
    <t>Young Animal Market</t>
  </si>
  <si>
    <t>A great way late game to trade in an extra sheep for an easy two point cow grab. Injects some cattle into the game.</t>
  </si>
  <si>
    <t>Herring Pot</t>
  </si>
  <si>
    <t>A nice dribble of food when played with Fishing synergy but quite underwhelming otherwise and hard to play early.</t>
  </si>
  <si>
    <t>Three-Field Rotation</t>
  </si>
  <si>
    <t>This is tricky to setup for more than one or two harvests but some late game food always is welcome.</t>
  </si>
  <si>
    <t>Clay Embankment</t>
  </si>
  <si>
    <t>The tempo of most games precludes us from playing minors while sitting on huge piles of clay. Can help building clay rooms, or Rammed Clay, though.</t>
  </si>
  <si>
    <t>Basket</t>
  </si>
  <si>
    <t>This is not a food engine. 2 wood (that usually go to an opponent!) for 3 food is a really poor trade and paying an early reed for the privilege hurts even more.</t>
  </si>
  <si>
    <t>Brook</t>
  </si>
  <si>
    <t>Forest + Clay Pit + Reed Bank</t>
  </si>
  <si>
    <t>Brook helps a lot of good accumulation actions get better, but it can sting to fishing into SP early game as it really slows your tempo.</t>
  </si>
  <si>
    <t>Pitchfork</t>
  </si>
  <si>
    <t>As we know, Grain Seeds isn't a phenomenal action. With enough synergy this can put it over the top though.</t>
  </si>
  <si>
    <t>Market Stall</t>
  </si>
  <si>
    <t>A good way to get a veggie if you have extra grain. Timing this for a round 11 or 13 SP into Cultivation is particularly sweet.</t>
  </si>
  <si>
    <t>Dutch Windmill</t>
  </si>
  <si>
    <t>The economic food boost is rarely relevant, but two printed points makes this a Joinery replacement in a pinch. Do other stuff with these resources.</t>
  </si>
  <si>
    <t>10월 22일</t>
  </si>
  <si>
    <t>다방 콤보</t>
  </si>
  <si>
    <t>다방 콤보
음식엔진(X)</t>
  </si>
  <si>
    <t>오물 궏ㅇ이</t>
  </si>
  <si>
    <t>숲쟁기</t>
  </si>
  <si>
    <t>- 나무 누적 칸을 이용한 뒤, 나무 2개를 이용한 나무 누적 칸에 내고 밭 1개를 일굴 수 있습니다.</t>
  </si>
  <si>
    <t>파티 기획자</t>
  </si>
  <si>
    <t>펠릿 압축기</t>
  </si>
  <si>
    <t>종자</t>
  </si>
  <si>
    <t>씨뿌빵굽</t>
  </si>
  <si>
    <t>씨뿌빵굽or돌가마</t>
  </si>
  <si>
    <t>종자 1개 남음</t>
  </si>
  <si>
    <t>종자 3개 됨</t>
  </si>
  <si>
    <t>종자 2개 남음</t>
  </si>
  <si>
    <t>종자 4개 됨</t>
  </si>
  <si>
    <t>나무 3</t>
  </si>
  <si>
    <t>갈대 2</t>
  </si>
  <si>
    <t>필요자원:</t>
  </si>
  <si>
    <t>누적자원: 나무1</t>
  </si>
  <si>
    <t>산림 관리 연구</t>
  </si>
  <si>
    <t>취미 목수 (교습)</t>
  </si>
  <si>
    <t>짚지붕 보조설비</t>
  </si>
  <si>
    <t>필요자원: 돌 3개</t>
  </si>
  <si>
    <t>교습 (음식)</t>
  </si>
  <si>
    <t>교습 (음식받는 직업)</t>
  </si>
  <si>
    <t>갈</t>
  </si>
  <si>
    <t>필요자원: 돌 3개 흙3개</t>
  </si>
  <si>
    <t>보조설비 (교사의 책상)</t>
  </si>
  <si>
    <t>2갈대</t>
  </si>
  <si>
    <t>필요자원: 돌 3개 흙3개 갈대 2개</t>
  </si>
  <si>
    <t>필요자원: 돌 3개 흙3개 갈대 4개 나무 6개</t>
  </si>
  <si>
    <t>필요자원: 돌 3개 흙3개 갈대 4개 나무 5개</t>
  </si>
  <si>
    <t>돌집 &amp; 주요설비 헌터</t>
  </si>
  <si>
    <t>돌 5개 갈대 2개 나무 15개</t>
  </si>
  <si>
    <t>밭 5번</t>
  </si>
  <si>
    <t>돌 5개 갈대 2개 나무 55개</t>
  </si>
  <si>
    <t>돌 5개 갈대 2개 나무 5개</t>
  </si>
  <si>
    <t>돌 5개 나무 5개</t>
  </si>
  <si>
    <t>개조 준비 담당자</t>
  </si>
  <si>
    <t>거래 스승</t>
  </si>
  <si>
    <t>D137</t>
  </si>
  <si>
    <t>Trade Teacher</t>
  </si>
  <si>
    <t>곡식 저장고</t>
  </si>
  <si>
    <t>보조 설비(소형 운반차)</t>
  </si>
  <si>
    <t>밭일 감독(교습)</t>
  </si>
  <si>
    <t>나무농장 일꾼 (소형 운반차, 연못 오두막)</t>
  </si>
  <si>
    <t>종자+밭</t>
  </si>
  <si>
    <t>각돌음</t>
  </si>
  <si>
    <t>씨뿌리기(곡식밭 2개)</t>
  </si>
  <si>
    <t>음식?</t>
  </si>
  <si>
    <t>2방</t>
  </si>
  <si>
    <t>곡식+밭</t>
  </si>
  <si>
    <t>나무3</t>
  </si>
  <si>
    <t>선턴(지붕사다리)</t>
  </si>
  <si>
    <t>나무 8개 모으기</t>
  </si>
  <si>
    <t>외양간짓기</t>
  </si>
  <si>
    <t>선턴(식물비료)</t>
  </si>
  <si>
    <t>급한 가늘</t>
  </si>
  <si>
    <t>16개</t>
  </si>
  <si>
    <t>11개</t>
  </si>
  <si>
    <t>나무 5개 모으기</t>
  </si>
  <si>
    <t>나무 3개 모으기</t>
  </si>
  <si>
    <t>13개?</t>
  </si>
  <si>
    <t>6개밖에 안 남아 ㄷㄷ</t>
  </si>
  <si>
    <t>2점</t>
  </si>
  <si>
    <t>6음식</t>
  </si>
  <si>
    <t>10월 27일</t>
  </si>
  <si>
    <t>52.5점</t>
  </si>
  <si>
    <t>47.5점</t>
  </si>
  <si>
    <t>48점</t>
  </si>
  <si>
    <t>화덕 기반 농경 엔진</t>
  </si>
  <si>
    <t>채석장 현장학습</t>
  </si>
  <si>
    <t>채석장 현장 학습</t>
  </si>
  <si>
    <t>- 즉시 가족 구성원 수와 같은 개수의 돌을 가져옵니다.</t>
  </si>
  <si>
    <t>- 즉시 가족 구성원 수와 같은 개수의 돌을 가져옵니다.
※ 4개 돌받는 기준으로 계산</t>
  </si>
  <si>
    <t>벽돌 까는 사람</t>
  </si>
  <si>
    <t>곡식창고 관링니</t>
  </si>
  <si>
    <t>밭일 감독/ 나무농장 일꾼</t>
  </si>
  <si>
    <t>음식엔진은 잘 만드는데 마음이 너무 급하다. 조금만 천천히 하자</t>
  </si>
  <si>
    <t>음식엔진은 잘 만드는데 마음이 너무 급하다. 조금만 침착하게 하자</t>
  </si>
  <si>
    <t>밭일 감독 (100%)/ 나무농장 일꾼(100%)</t>
  </si>
  <si>
    <t>연못 오두막(100%) / 곡식밭 안 침대 (100%) / 화덕 (75%) / 숲속 바위 (100%)
지붕 사다리 (0%)</t>
  </si>
  <si>
    <r>
      <t xml:space="preserve">연못 오두막(100%) / 곡식밭 안 침대 (100%) / </t>
    </r>
    <r>
      <rPr>
        <b/>
        <sz val="11"/>
        <color theme="1"/>
        <rFont val="맑은 고딕"/>
      </rPr>
      <t xml:space="preserve">화덕 (75%) </t>
    </r>
    <r>
      <rPr>
        <sz val="11"/>
        <color theme="1"/>
        <rFont val="맑은 고딕"/>
      </rPr>
      <t>/ 숲속 바위 (100%)
지붕 사다리 (0%)</t>
    </r>
  </si>
  <si>
    <t>밭일 감독 (100%)/ 나무농장 일꾼(100%)
/ 상담가 (100%)</t>
  </si>
  <si>
    <t>나무2</t>
  </si>
  <si>
    <t>교습(무자녀)</t>
  </si>
  <si>
    <t>교습(@)</t>
  </si>
  <si>
    <t>교습(?)</t>
  </si>
  <si>
    <t>선잡기 (상추밭)</t>
  </si>
  <si>
    <t>무자녀 효과</t>
  </si>
  <si>
    <t>상추 키울 수 있는 밭으로 작용 (직업 3개) 음식 4개로 환전</t>
  </si>
  <si>
    <t>갈대 3개 가져오기</t>
  </si>
  <si>
    <t>나무 캐기</t>
  </si>
  <si>
    <t>4흙 화덕</t>
  </si>
  <si>
    <t>위스키 증류기</t>
  </si>
  <si>
    <t>위스키 제조자</t>
  </si>
  <si>
    <t>교습2</t>
  </si>
  <si>
    <t>교습3</t>
  </si>
  <si>
    <t>집고치기+우물</t>
  </si>
  <si>
    <t>흙 1개 갈대 1개 돌 3개 나무 1개</t>
  </si>
  <si>
    <t xml:space="preserve">흙 5~6개 갈대 1개 </t>
  </si>
  <si>
    <t>화덕+집고치기</t>
  </si>
  <si>
    <t>교습2 (미장이)</t>
  </si>
  <si>
    <t>교습2 ()</t>
  </si>
  <si>
    <t>흙 9개</t>
  </si>
  <si>
    <t>교습()</t>
  </si>
  <si>
    <t>집고치기+화덕</t>
  </si>
  <si>
    <t>건축자원 (흙, 나무, 돌)</t>
  </si>
  <si>
    <t>방만들기 (2방)</t>
  </si>
  <si>
    <t>3돌</t>
  </si>
  <si>
    <t>교습(키우기)</t>
  </si>
  <si>
    <t>13R 선턴 꼭</t>
  </si>
  <si>
    <t>집고치기+ 울타리 or 그릇제작소</t>
  </si>
  <si>
    <t>울타리7</t>
  </si>
  <si>
    <t>2밭</t>
  </si>
  <si>
    <t>소교습</t>
  </si>
  <si>
    <t>집고치기 그릇제작소</t>
  </si>
  <si>
    <t>밭가씨뿌</t>
  </si>
  <si>
    <t>밭가씨뿌or 밭</t>
  </si>
  <si>
    <t>집고치기천천히 가도 될듯</t>
  </si>
  <si>
    <t>집고치기잘보고!!</t>
  </si>
  <si>
    <t>2돼지</t>
  </si>
  <si>
    <t>10월 30일</t>
  </si>
  <si>
    <t>채소 화덕 무자녀 엔진</t>
  </si>
  <si>
    <r>
      <rPr>
        <b/>
        <sz val="11"/>
        <color theme="1"/>
        <rFont val="맑은 고딕"/>
      </rPr>
      <t>채소 화덕 무자녀 엔진</t>
    </r>
  </si>
  <si>
    <t>무자녀/ 기능 장인/ 미장이 / 건초 말리는 사람</t>
  </si>
  <si>
    <t>먹이통/갈대 연못/상추밭/닭장</t>
  </si>
  <si>
    <t>집개조 남 방 개수까지 꼭 체크해서 할 수 있나 판단
주요 설비 막턴에 빠르게 만드는거부터 신경쓸것</t>
  </si>
  <si>
    <t>집개조 남 방 개수까지 꼭 체크해서 할 수 있나 판단
주요 설비 막턴에 빠르게 만드는거부터 신경쓸것
(내가 안 가져간 점수는 남이 가져간다)</t>
  </si>
  <si>
    <t>집개조 남 방 개수까지 꼭 체크해서 할 수 있나 판단.
주요 설비 막턴에 빠르게 만드는거부터 신경쓸것
(막라는 서순까지 꼭 설계하는 습관 들이기)</t>
  </si>
  <si>
    <t>먹이통/갈대 연못/상추밭/닭장/화덕</t>
  </si>
  <si>
    <r>
      <t>먹이통/갈대 연못/상추밭/닭장/</t>
    </r>
    <r>
      <rPr>
        <b/>
        <sz val="11"/>
        <color theme="1"/>
        <rFont val="맑은 고딕"/>
      </rPr>
      <t>화덕</t>
    </r>
  </si>
  <si>
    <t xml:space="preserve">1. 첫번째 카드를 1티어 카드로 뽑고, 음식엔진 노선을 그 카드로 맞춰서 정한다
</t>
  </si>
  <si>
    <t>1. 첫번째 카드를 1티어 카드로 뽑고, 음식엔진 노선을 그 카드로 맞춰서 정한다</t>
  </si>
  <si>
    <t>2. 첫번째 카드에 1티어가 없다면 가장 연계가 잘 되는 2티어 직업+보조 설비를 뽑는다</t>
  </si>
  <si>
    <t>3. 1티어 카드와 음식엔진에 최적화된 카드로 뒤쪽 카드를 집어준다</t>
  </si>
  <si>
    <t>도매상</t>
  </si>
  <si>
    <t>- 갱신: 이 카드를 내려놓으면 즉시 나무 2개를 가져옵니다. 방을 만들 때마다 각각 나무 1개씩을 덜 내고 설비를 내려놓을 수 있습니다</t>
  </si>
  <si>
    <t>- 매 수확마다 돌 1개를 음식 3개로 바꿀 수 있습니다 (?)</t>
  </si>
  <si>
    <t>D108</t>
  </si>
  <si>
    <t xml:space="preserve"> Cattle Farm</t>
  </si>
  <si>
    <t>목양 업자</t>
  </si>
  <si>
    <t>은둥ㄴ 농부</t>
  </si>
  <si>
    <t>가추</t>
  </si>
  <si>
    <t>교습1</t>
  </si>
  <si>
    <t>보조설비(말이끄는 보트)</t>
  </si>
  <si>
    <t>교습1(오두막집 살이)</t>
  </si>
  <si>
    <t>교습2(삽쓰는 사람)</t>
  </si>
  <si>
    <t>교습3(숙련 석공 조합원)</t>
  </si>
  <si>
    <t>10흙</t>
  </si>
  <si>
    <t>10흙/2갈대</t>
  </si>
  <si>
    <t>목장감독관</t>
  </si>
  <si>
    <t>8나무</t>
  </si>
  <si>
    <t>4외양간</t>
  </si>
  <si>
    <t>10흙/4갈대</t>
  </si>
  <si>
    <t>9나무</t>
  </si>
  <si>
    <t>집고치며, 울타리치기</t>
  </si>
  <si>
    <t>음식 받기</t>
  </si>
  <si>
    <t>음식 얻는 행동</t>
  </si>
  <si>
    <t>집개조 울타리</t>
  </si>
  <si>
    <t>집고치기+울타리치기</t>
  </si>
  <si>
    <t>4음식 확보</t>
  </si>
  <si>
    <t>3양</t>
  </si>
  <si>
    <t>6음식 확보</t>
  </si>
  <si>
    <t>3음식만 더?</t>
  </si>
  <si>
    <t>돼지 or 소</t>
  </si>
  <si>
    <t>11월 1일</t>
  </si>
  <si>
    <t>베틀 기반 목축 엔진
(음식엔진 미완)</t>
  </si>
  <si>
    <t>이거 베틀 그냥 초반에 울타리 빠르게 큰거 치고 거기에 양 넣는게 
더 나을지도 모른다는 생각이 들었다</t>
  </si>
  <si>
    <t>이거 베틀 그냥 초반에 울타리 빠르게 큰거 치고 거기에 양 넣는게 더 나을지도 모른다는 생각이 들었다</t>
  </si>
  <si>
    <t>숙련 석공 조합원/오두막집살이/목장 감독관/나무 정원사/양 지킴이</t>
  </si>
  <si>
    <t>말이 끄는 보트/베틀</t>
  </si>
  <si>
    <t>말이 끄는 보트/베틀/목재 유장 양동이</t>
  </si>
  <si>
    <t>말이 끄는 보트/베틀/목재 유장 양동이/화로</t>
  </si>
  <si>
    <r>
      <t>말이 끄는 보트/베틀/목재 유장 양동이/</t>
    </r>
    <r>
      <rPr>
        <b/>
        <sz val="11"/>
        <color theme="1"/>
        <rFont val="맑은 고딕"/>
      </rPr>
      <t>화로</t>
    </r>
  </si>
  <si>
    <t>도리꺠</t>
  </si>
  <si>
    <t>숲 속 호수 오두박</t>
  </si>
  <si>
    <t>장작 채집ㅈ자</t>
  </si>
  <si>
    <t>재건축회사</t>
  </si>
  <si>
    <t>덩</t>
  </si>
  <si>
    <t>장비꾼</t>
  </si>
  <si>
    <t>보조설비 (저울)</t>
  </si>
  <si>
    <t>교습(타작꾼)</t>
  </si>
  <si>
    <t>보조설비 (재건축 회사)</t>
  </si>
  <si>
    <t>교습(숙련 석공 조합원)</t>
  </si>
  <si>
    <t>호화로운 숙박 시설</t>
  </si>
  <si>
    <t>교습(실 잣는 사람)</t>
  </si>
  <si>
    <t>4나무</t>
  </si>
  <si>
    <t>교습(숙련 석공 조합원)\</t>
  </si>
  <si>
    <t>밭 6개</t>
  </si>
  <si>
    <t>맥주테이블</t>
  </si>
  <si>
    <t>2밭 갈고 곡식밭</t>
  </si>
  <si>
    <t>곡식테이블</t>
  </si>
  <si>
    <t>흙가마?</t>
  </si>
  <si>
    <t>마지막 씨뿌리기가 4주기까지
(5,6R는 X)</t>
  </si>
  <si>
    <t>돌가마 제작</t>
  </si>
  <si>
    <t>43무</t>
  </si>
  <si>
    <t>선잡기+맥주테이블</t>
  </si>
  <si>
    <t>벽돌공교습</t>
  </si>
  <si>
    <t>2~3나무</t>
  </si>
  <si>
    <t>5주기</t>
  </si>
  <si>
    <t>8개</t>
  </si>
  <si>
    <t>9개</t>
  </si>
  <si>
    <t>6주기</t>
  </si>
  <si>
    <t>4주기</t>
  </si>
  <si>
    <t>6개</t>
  </si>
  <si>
    <t>곡식 5개</t>
  </si>
  <si>
    <t>나무 10개</t>
  </si>
  <si>
    <t>나무 8~10개</t>
  </si>
  <si>
    <t>5개</t>
  </si>
  <si>
    <t>곡식 2개</t>
  </si>
  <si>
    <t>곡식 4개</t>
  </si>
  <si>
    <t>농지</t>
  </si>
  <si>
    <t>4돌</t>
  </si>
  <si>
    <t>연계 안 되는 저울은 쓰레기다</t>
  </si>
  <si>
    <t>연계 안 되는 저울은 쓰레기다. 컨셉에 잡아먹혀서 가족늘리기를 너무 등한시해서 망했다</t>
  </si>
  <si>
    <t>음식획드,ㄱ</t>
  </si>
  <si>
    <t>음식 획득</t>
  </si>
  <si>
    <t>음식 4개만 구하기</t>
  </si>
  <si>
    <t>음식 3개만 구하기</t>
  </si>
  <si>
    <t>11월 4일</t>
  </si>
  <si>
    <t>농경 흙집 테크
(돌가마 놓쳐서 미완)</t>
  </si>
  <si>
    <t>숙련 석공 조합원/타작꾼/벽돌공</t>
  </si>
  <si>
    <t>저울/재건축 회사/흙가마</t>
  </si>
  <si>
    <t>저울/재건축 회사/흙가마/우물/녹지 계획</t>
  </si>
  <si>
    <r>
      <t>저울/재건축 회사/</t>
    </r>
    <r>
      <rPr>
        <b/>
        <sz val="11"/>
        <color theme="1"/>
        <rFont val="맑은 고딕"/>
      </rPr>
      <t>흙가마/우물/</t>
    </r>
    <r>
      <rPr>
        <sz val="11"/>
        <color theme="1"/>
        <rFont val="맑은 고딕"/>
      </rPr>
      <t>녹지 계획</t>
    </r>
  </si>
  <si>
    <t>교습 (음식 2개)</t>
  </si>
  <si>
    <t>나무 2개</t>
  </si>
  <si>
    <t>밭 (음식 1개, 곡식 1개)</t>
  </si>
  <si>
    <t>밭 (음식 0개, 곡식 2개)</t>
  </si>
  <si>
    <t>갈돌음 (음식 1개)</t>
  </si>
  <si>
    <t>씨뿌리기 (2곡식밭)</t>
  </si>
  <si>
    <t>갈돌음 (음식 3개)</t>
  </si>
  <si>
    <t>교습(숙련 석공 조합원, 음식 2개)</t>
  </si>
  <si>
    <t>선턴 (재건축 회사)</t>
  </si>
  <si>
    <t>음식 4개 (음식 6개)</t>
  </si>
  <si>
    <t>밭 1개 갈기 (음식 5개)</t>
  </si>
  <si>
    <t>갈돌음 (음식 3개, 돌 1개, 갈대 1개,)</t>
  </si>
  <si>
    <t>갈돌음 (음식 3개, 돌 1개, 갈대 1개)</t>
  </si>
  <si>
    <t>갈돌음 (음식 2개, 돌2개, 갈대2개)</t>
  </si>
  <si>
    <t>흙가마 (음식 7개, 돌 2개, 갈대2개, 곡식 0개, 흙 1개)</t>
  </si>
  <si>
    <t>밭 1개 갈기</t>
  </si>
  <si>
    <t>밭 1개 갈기 (음식 1개,돌2,갈2,흙7</t>
  </si>
  <si>
    <t>흙 7개</t>
  </si>
  <si>
    <t>밭 1개 갈기 (음식 1개,돌2,갈2,흙7,곡2)</t>
  </si>
  <si>
    <t>음식 2개, 7흙, 2돌, 2갈대, 2밭, 2곡식</t>
  </si>
  <si>
    <t>음식 2개, 9흙, 2돌, 2갈대, 2밭, 2곡식</t>
  </si>
  <si>
    <t>흙가마 짓기</t>
  </si>
  <si>
    <t>음식 7개, 6흙, 1돌, 2갈대, 2밭, 1곡식</t>
  </si>
  <si>
    <t>교습(벽돌공)</t>
  </si>
  <si>
    <t>음식 6개, 6흙, 1돌, 2갈대, 2밭, 1곡식</t>
  </si>
  <si>
    <t>음식 6개, 8흙, 1돌, 2갈대, 2밭, 1곡식</t>
  </si>
  <si>
    <t>음식 5개, 8흙, 1돌, 2갈대, 2곡식밭 0곡식</t>
  </si>
  <si>
    <t xml:space="preserve">1등 </t>
  </si>
  <si>
    <t>1등 Wako4410</t>
  </si>
  <si>
    <t>1R</t>
  </si>
  <si>
    <t>2R</t>
  </si>
  <si>
    <t>3R</t>
  </si>
  <si>
    <t>4R</t>
  </si>
  <si>
    <t>교습 (후원자)</t>
  </si>
  <si>
    <t>가치</t>
  </si>
  <si>
    <t>비용</t>
  </si>
  <si>
    <t>이득</t>
  </si>
  <si>
    <t>후원자 (1R)</t>
  </si>
  <si>
    <t xml:space="preserve">농지 </t>
  </si>
  <si>
    <t>농지 (1)</t>
  </si>
  <si>
    <t>1+후원자</t>
  </si>
  <si>
    <t>총합</t>
  </si>
  <si>
    <t>0+후원자</t>
  </si>
  <si>
    <t>교습 (교외 관리인)</t>
  </si>
  <si>
    <t>교외 관리인 (2R)</t>
  </si>
  <si>
    <t>0.66+교외 관리인</t>
  </si>
  <si>
    <t>4흙+2갈대</t>
  </si>
  <si>
    <t>4흙+2갈대(교외 관리인)</t>
  </si>
  <si>
    <t>교습 (교외 관리인/후원자)</t>
  </si>
  <si>
    <t>교습 (교외 관리인@후원자)</t>
  </si>
  <si>
    <t>0.72 이득</t>
  </si>
  <si>
    <t>5R</t>
  </si>
  <si>
    <t>6R</t>
  </si>
  <si>
    <t>7R</t>
  </si>
  <si>
    <t>농장 확장</t>
  </si>
  <si>
    <t>회합 장소</t>
  </si>
  <si>
    <t>소형 운반차 (6R)</t>
  </si>
  <si>
    <t>교습(기능 장인 @ 후원자)</t>
  </si>
  <si>
    <t>기능 장인 (6R)</t>
  </si>
  <si>
    <t>1+0</t>
  </si>
  <si>
    <t>회합 장소 (소형운반차)</t>
  </si>
  <si>
    <t>교습(기능 장인, 책장 @ 후원자)</t>
  </si>
  <si>
    <t>책장 (6R)</t>
  </si>
  <si>
    <t>교습 (농지돌보미)</t>
  </si>
  <si>
    <t>농지 돌보미 (7R)</t>
  </si>
  <si>
    <t>8R</t>
  </si>
  <si>
    <t>9R</t>
  </si>
  <si>
    <t>가늘 (작은우리)</t>
  </si>
  <si>
    <t>작은 우리 (8R)</t>
  </si>
  <si>
    <t>6흙</t>
  </si>
  <si>
    <t>주요설비 (돌가마)</t>
  </si>
  <si>
    <t>돌가마 (9R)</t>
  </si>
  <si>
    <t xml:space="preserve">곡식 활용 </t>
  </si>
  <si>
    <t>10R</t>
  </si>
  <si>
    <t>11R</t>
  </si>
  <si>
    <t>수 319</t>
  </si>
  <si>
    <t>3갈대</t>
  </si>
  <si>
    <t>회합장소(</t>
  </si>
  <si>
    <t>회합장소(자동 급수기)</t>
  </si>
  <si>
    <t>자동급수기</t>
  </si>
  <si>
    <t>급하지 않은 가족 늘리기</t>
  </si>
  <si>
    <t>4흙 2갈대 (교외관리인)</t>
  </si>
  <si>
    <t>수 405</t>
  </si>
  <si>
    <t>돌 조각사</t>
  </si>
  <si>
    <t>12R</t>
  </si>
  <si>
    <t>13R</t>
  </si>
  <si>
    <t>2소</t>
  </si>
  <si>
    <t>밭농사(4곡식 증가)</t>
  </si>
  <si>
    <t>채소 종자</t>
  </si>
  <si>
    <t>밭 농사</t>
  </si>
  <si>
    <t>지붕 다지는 사람 (교습)</t>
  </si>
  <si>
    <t>지붕 다지는 사람(12R)</t>
  </si>
  <si>
    <t>화로(설비)</t>
  </si>
  <si>
    <t>지붕 다지는 사람(13R)</t>
  </si>
  <si>
    <t>화로(13R)</t>
  </si>
  <si>
    <t>14R</t>
  </si>
  <si>
    <t>일시</t>
  </si>
  <si>
    <t>농장 개조</t>
  </si>
  <si>
    <t>기본 가늘</t>
  </si>
  <si>
    <t>이동 경작(14R)</t>
  </si>
  <si>
    <t>37행동</t>
  </si>
  <si>
    <t>행동 수</t>
  </si>
  <si>
    <t>가치 수</t>
  </si>
  <si>
    <t>곡식 활용</t>
  </si>
  <si>
    <t>예상 점수 100%</t>
  </si>
  <si>
    <t>음싟 수</t>
  </si>
  <si>
    <t>음식 수</t>
  </si>
  <si>
    <t>소모 음식 수</t>
  </si>
  <si>
    <t>10월 14일</t>
  </si>
  <si>
    <t>총 인원</t>
  </si>
  <si>
    <t>목축엔진</t>
  </si>
  <si>
    <t>외양간 설계사/수레 미는 사람/</t>
  </si>
  <si>
    <t>아</t>
  </si>
  <si>
    <t>외양간 설계사/수레 미는 사람</t>
  </si>
  <si>
    <t>안마당 거름/화덕/그릇 제작소</t>
  </si>
  <si>
    <r>
      <rPr>
        <b/>
        <sz val="11"/>
        <color theme="1"/>
        <rFont val="맑은 고딕"/>
      </rPr>
      <t>안마당 거름</t>
    </r>
    <r>
      <rPr>
        <sz val="11"/>
        <color theme="1"/>
        <rFont val="맑은 고딕"/>
      </rPr>
      <t>/화덕/그릇 제작소</t>
    </r>
  </si>
  <si>
    <r>
      <rPr>
        <sz val="11"/>
        <color theme="1"/>
        <rFont val="맑은 고딕"/>
      </rPr>
      <t>안마당 거름/</t>
    </r>
    <r>
      <rPr>
        <b/>
        <sz val="11"/>
        <color theme="1"/>
        <rFont val="맑은 고딕"/>
      </rPr>
      <t>화덕</t>
    </r>
    <r>
      <rPr>
        <sz val="11"/>
        <color theme="1"/>
        <rFont val="맑은 고딕"/>
      </rPr>
      <t>/</t>
    </r>
    <r>
      <rPr>
        <b/>
        <sz val="11"/>
        <color theme="1"/>
        <rFont val="맑은 고딕"/>
      </rPr>
      <t>그릇 제작소</t>
    </r>
  </si>
  <si>
    <t>11월 5일</t>
  </si>
  <si>
    <t>청과물상인+위스키 제조업자 
음식 복제 카드콤보</t>
  </si>
  <si>
    <t>청과물 상인/위스키 제조업자/가축 사육사/</t>
  </si>
  <si>
    <t>청과물 상인/위스키 제조업자/가축 사육사/정원 디자이너</t>
  </si>
  <si>
    <t>숲</t>
  </si>
  <si>
    <t>가축 사육사/위스키 제조업자/청과물 상인/정원 디자이너</t>
  </si>
  <si>
    <t>쌍방향 쟁기/곡식밭의 엔진/숲 쟁기/
흙가마/가구 제작소</t>
  </si>
  <si>
    <r>
      <t xml:space="preserve">쌍방향 쟁기/곡식밭의 엔진/숲 쟁기/
</t>
    </r>
    <r>
      <rPr>
        <b/>
        <sz val="11"/>
        <color theme="1"/>
        <rFont val="맑은 고딕"/>
      </rPr>
      <t>흙가마</t>
    </r>
    <r>
      <rPr>
        <sz val="11"/>
        <color theme="1"/>
        <rFont val="맑은 고딕"/>
      </rPr>
      <t>/</t>
    </r>
    <r>
      <rPr>
        <b/>
        <sz val="11"/>
        <color theme="1"/>
        <rFont val="맑은 고딕"/>
      </rPr>
      <t>가구 제작소</t>
    </r>
  </si>
  <si>
    <t>초반 카드</t>
  </si>
  <si>
    <t>초반/중후반</t>
  </si>
  <si>
    <t>쌍방향 쟁기/곡식밭의 침대/숲 쟁기/
흙가마/가구 제작소</t>
  </si>
  <si>
    <r>
      <t xml:space="preserve">쌍방향 쟁기/곡식밭의 </t>
    </r>
    <r>
      <rPr>
        <sz val="11"/>
        <color theme="1"/>
        <rFont val="맑은 고딕"/>
      </rPr>
      <t xml:space="preserve">침대/숲 쟁기/
</t>
    </r>
    <r>
      <rPr>
        <b/>
        <sz val="11"/>
        <color theme="1"/>
        <rFont val="맑은 고딕"/>
      </rPr>
      <t>흙가마</t>
    </r>
    <r>
      <rPr>
        <sz val="11"/>
        <color theme="1"/>
        <rFont val="맑은 고딕"/>
      </rPr>
      <t>/</t>
    </r>
    <r>
      <rPr>
        <b/>
        <sz val="11"/>
        <color theme="1"/>
        <rFont val="맑은 고딕"/>
      </rPr>
      <t>가구 제작소</t>
    </r>
  </si>
  <si>
    <t>4장/5장</t>
  </si>
  <si>
    <t>처음으로 복제 콤보 쓴 것 같다. 음식이 복사되는 미친 콤보.
초반에 쓸 카드는 4장만 챙기고 일시적으로 쓸 수 있는
카드로 구성하는게 중요한 것 같다</t>
  </si>
  <si>
    <t>엔진카드(4)</t>
  </si>
  <si>
    <t>작은 우리(b)</t>
  </si>
  <si>
    <t xml:space="preserve">[교습/설비] 음식 (8) </t>
  </si>
  <si>
    <t xml:space="preserve">음식 (8) [교습/설비테크] </t>
  </si>
  <si>
    <t>지붕 사다라</t>
  </si>
  <si>
    <t>조리 도우상</t>
  </si>
  <si>
    <t>우선 순위: 음식 테크 &gt; 갈대/나무/흙 &gt; 일시불</t>
  </si>
  <si>
    <t>[우선 순위] 음식 테크 &gt; 갈대/나무/흙 &gt; 일시불</t>
  </si>
  <si>
    <t>[우선 순위] 음식 테크 &gt; 갈대/나무/흙</t>
  </si>
  <si>
    <t>[우선 순위] 음식 테크 &gt; 갈대/나무</t>
  </si>
  <si>
    <t>녹지 계회ㅐㄱ</t>
  </si>
  <si>
    <t>[우선 순위] 음식 테크 &gt; 갈대/나무/밭 &gt; 점수</t>
  </si>
  <si>
    <t>감자 수확지ㅏ</t>
  </si>
  <si>
    <t>곡식엔진</t>
  </si>
  <si>
    <t>작은 우리(d)</t>
  </si>
  <si>
    <t>나무 원조</t>
  </si>
  <si>
    <t>자원 시장 가면 +1 곡식 가능</t>
  </si>
  <si>
    <t>선턴(목재소)</t>
  </si>
  <si>
    <t>직업 1개 늘리기</t>
  </si>
  <si>
    <t>직업 1개(큰낫 일꾼)</t>
  </si>
  <si>
    <t>2개</t>
  </si>
  <si>
    <t>자원</t>
  </si>
  <si>
    <t>6나무</t>
  </si>
  <si>
    <t>7흙</t>
  </si>
  <si>
    <t>가늘 (타작판)</t>
  </si>
  <si>
    <t>선턴(타작판)</t>
  </si>
  <si>
    <t>7음식</t>
  </si>
  <si>
    <t>가늘or밭가씨뿌</t>
  </si>
  <si>
    <t>가늘or밭가씨뿌+양날쟁기</t>
  </si>
  <si>
    <t>울타리 ㅊ ㅣ기</t>
  </si>
  <si>
    <t>회합장소</t>
  </si>
  <si>
    <t>울타리or농지</t>
  </si>
  <si>
    <t>선턴or울타리or농지</t>
  </si>
  <si>
    <t>울타리or선턴</t>
  </si>
  <si>
    <t>교습(사냥꾼)</t>
  </si>
  <si>
    <t>음식 액션</t>
  </si>
  <si>
    <t>작은 우리(1점)</t>
  </si>
  <si>
    <t>4개까지는 곡식 무도 됨</t>
  </si>
  <si>
    <t>11월 8일</t>
  </si>
  <si>
    <t xml:space="preserve">창고관리인 </t>
  </si>
  <si>
    <t xml:space="preserve">창고관리인 중심
돌가마 농경 콤보 </t>
  </si>
  <si>
    <t>타</t>
  </si>
  <si>
    <t>교습(음식1)</t>
  </si>
  <si>
    <t>창고 관리인(2R)</t>
  </si>
  <si>
    <t>1등 나</t>
  </si>
  <si>
    <t>나무밭 (5r)</t>
  </si>
  <si>
    <t>나무밭 (5R)</t>
  </si>
  <si>
    <t>선턴(나무밭)</t>
  </si>
  <si>
    <t>나무밭(5R)</t>
  </si>
  <si>
    <t>목재소(5R)</t>
  </si>
  <si>
    <t>나무밭(6R)</t>
  </si>
  <si>
    <t>돌가마(7R)</t>
  </si>
  <si>
    <t>5나무</t>
  </si>
  <si>
    <t>큰낫 일꾼(8R)</t>
  </si>
  <si>
    <t>집 개조</t>
  </si>
  <si>
    <t>우물(10R)</t>
  </si>
  <si>
    <t>집 개조+우물</t>
  </si>
  <si>
    <t>가늘+양날쟁기</t>
  </si>
  <si>
    <t>가늘+나무밭</t>
  </si>
  <si>
    <t>양날 쟁기(11R)</t>
  </si>
  <si>
    <t>양날 쟁기(12R)</t>
  </si>
  <si>
    <t>선턴+타작판</t>
  </si>
  <si>
    <t>타작판(12R)</t>
  </si>
  <si>
    <t>수 458</t>
  </si>
  <si>
    <t>농경 엔진 (밭갈기)</t>
  </si>
  <si>
    <t>농경 엔진 (나무 누적칸/밭갈기)</t>
  </si>
  <si>
    <t>interim storage</t>
  </si>
  <si>
    <t>경질 ㅏ기</t>
  </si>
  <si>
    <t>농경 엔진 (채소 화덕)</t>
  </si>
  <si>
    <t>주사위 제ㅐ작자</t>
  </si>
  <si>
    <t>채소 1개얻기</t>
  </si>
  <si>
    <t>화덕만들기</t>
  </si>
  <si>
    <t>나무 칸 가면 나무 1내고 밭 갈고 음식 1개 받음</t>
  </si>
  <si>
    <t>갈대밭</t>
  </si>
  <si>
    <t>갈대밭?</t>
  </si>
  <si>
    <t>자원 (흙채굴장 or 갈대밭 우선)</t>
  </si>
  <si>
    <t>무조건 선턴</t>
  </si>
  <si>
    <t>외양간 4개</t>
  </si>
  <si>
    <t>8점</t>
  </si>
  <si>
    <t>집고치고울타리</t>
  </si>
  <si>
    <t>7점</t>
  </si>
  <si>
    <t>6점</t>
  </si>
  <si>
    <t>집고치고 울타리치기</t>
  </si>
  <si>
    <t>급한가늘</t>
  </si>
  <si>
    <t>11월 11일</t>
  </si>
  <si>
    <t>감자심는 사람/경작자
채소 콤보</t>
  </si>
  <si>
    <t>좀 가늘이 늦긴 했어도 그래도 이정도면 선방한것 같아 만족한다</t>
  </si>
  <si>
    <t>경작자/감자 심는 사람</t>
  </si>
  <si>
    <t>숲쟁기/화덕</t>
  </si>
  <si>
    <t>숲쟁기/화덕/감자 작판기/나무 갈퀴/흙가마/기독교</t>
  </si>
  <si>
    <r>
      <t>숲쟁기/</t>
    </r>
    <r>
      <rPr>
        <b/>
        <sz val="11"/>
        <color theme="1"/>
        <rFont val="맑은 고딕"/>
      </rPr>
      <t>화덕/</t>
    </r>
    <r>
      <rPr>
        <sz val="11"/>
        <color theme="1"/>
        <rFont val="맑은 고딕"/>
      </rPr>
      <t>감자 작판기/나무 갈퀴/</t>
    </r>
    <r>
      <rPr>
        <b/>
        <sz val="11"/>
        <color theme="1"/>
        <rFont val="맑은 고딕"/>
      </rPr>
      <t>흙가마</t>
    </r>
    <r>
      <rPr>
        <sz val="11"/>
        <color theme="1"/>
        <rFont val="맑은 고딕"/>
      </rPr>
      <t>/기독교</t>
    </r>
  </si>
  <si>
    <t>4장/4장</t>
  </si>
  <si>
    <t>4장/6장</t>
  </si>
  <si>
    <t>화로(14R)</t>
  </si>
  <si>
    <t>1돼지</t>
  </si>
  <si>
    <t>최종 점수</t>
  </si>
  <si>
    <t>예상 점수 62%</t>
  </si>
  <si>
    <t>예상점수 126%</t>
  </si>
  <si>
    <t>집 개조(+화로)</t>
  </si>
  <si>
    <t>예상 점수 61%</t>
  </si>
  <si>
    <t>예상점수 74%</t>
  </si>
  <si>
    <t>잔여물</t>
  </si>
  <si>
    <t>잔존가치</t>
  </si>
  <si>
    <t>예상점수 85%</t>
  </si>
  <si>
    <t>최종효율</t>
  </si>
  <si>
    <t>예상점수</t>
  </si>
  <si>
    <t>최종점수</t>
  </si>
  <si>
    <t>최종효율 85%</t>
  </si>
  <si>
    <t>최종효율 67%</t>
  </si>
  <si>
    <t>최종효율 %</t>
  </si>
  <si>
    <t>최종효율 83%</t>
  </si>
  <si>
    <t>최종효율 103%</t>
  </si>
  <si>
    <t>가치 합한 점수</t>
  </si>
  <si>
    <t>기본 점수</t>
  </si>
  <si>
    <t>총 가치</t>
  </si>
  <si>
    <t>총 행동</t>
  </si>
  <si>
    <t>최종 가치</t>
  </si>
  <si>
    <t>최종가치</t>
  </si>
  <si>
    <t>액션 수</t>
  </si>
  <si>
    <t>액션수</t>
  </si>
  <si>
    <t>총 행동수</t>
  </si>
  <si>
    <t>총 행동가치</t>
  </si>
  <si>
    <t>창고관리인/큰낫 일꾼</t>
  </si>
  <si>
    <t>목재소/돌가마/나무밭/우물/양날쟁기/타작판/화로</t>
  </si>
  <si>
    <r>
      <t>목재소/</t>
    </r>
    <r>
      <rPr>
        <b/>
        <sz val="11"/>
        <color theme="1"/>
        <rFont val="맑은 고딕"/>
      </rPr>
      <t>돌가마/</t>
    </r>
    <r>
      <rPr>
        <sz val="11"/>
        <color theme="1"/>
        <rFont val="맑은 고딕"/>
      </rPr>
      <t>나무밭/</t>
    </r>
    <r>
      <rPr>
        <b/>
        <sz val="11"/>
        <color theme="1"/>
        <rFont val="맑은 고딕"/>
      </rPr>
      <t>우물</t>
    </r>
    <r>
      <rPr>
        <sz val="11"/>
        <color theme="1"/>
        <rFont val="맑은 고딕"/>
      </rPr>
      <t>/양날쟁기/타작판/</t>
    </r>
    <r>
      <rPr>
        <b/>
        <sz val="11"/>
        <color theme="1"/>
        <rFont val="맑은 고딕"/>
      </rPr>
      <t>화로</t>
    </r>
  </si>
  <si>
    <t>카드 초반에 내리는걸 절제하고 어떻게든 효율적으로 움직이려 노력한게 결국은 좋은 점수로 되돌아왔다</t>
  </si>
  <si>
    <t>좀 가늘이 늦긴 했어도 그래도 이정도면 선방한것 같아 만족한다. 마지막에 음식 계산 철저히 해서 곡식 안 태웠으면 1점 추가라 그게 좀 아쉬움</t>
  </si>
  <si>
    <t>교습 (덫 제작자)</t>
  </si>
  <si>
    <t>덫 제작자(1R)</t>
  </si>
  <si>
    <t>회합 장소 (</t>
  </si>
  <si>
    <t>회합 장소 (흙 공급)</t>
  </si>
  <si>
    <t>흙 공급(2R)</t>
  </si>
  <si>
    <t>0.75-0.1</t>
  </si>
  <si>
    <t>교습 (</t>
  </si>
  <si>
    <t>가구상(3R)</t>
  </si>
  <si>
    <t>교습 (가구상)</t>
  </si>
  <si>
    <t>농장 확장(</t>
  </si>
  <si>
    <t>농장 확장 (</t>
  </si>
  <si>
    <t>농장 확장 (잔디 비료)</t>
  </si>
  <si>
    <t>잔디 비료(4R)</t>
  </si>
  <si>
    <t>날품팔이</t>
  </si>
  <si>
    <t>5음식</t>
  </si>
  <si>
    <t>가늘 (수영 교습)</t>
  </si>
  <si>
    <t>수영 교습(6R)</t>
  </si>
  <si>
    <t>농장 확장 (우물)</t>
  </si>
  <si>
    <t>우물 (7R)</t>
  </si>
  <si>
    <t>화로 (7R)</t>
  </si>
  <si>
    <t>농장 확장 (화로)</t>
  </si>
  <si>
    <t>회합 장소 (작은 우리)</t>
  </si>
  <si>
    <t>설비 (우물)</t>
  </si>
  <si>
    <t>우물(8R)</t>
  </si>
  <si>
    <t>가늘 (</t>
  </si>
  <si>
    <t>가늘 (수렵 기념물)</t>
  </si>
  <si>
    <t>수렵 기념물 (9R)</t>
  </si>
  <si>
    <t>3음식 (낚시)</t>
  </si>
  <si>
    <t>3돼지</t>
  </si>
  <si>
    <t>수 360</t>
  </si>
  <si>
    <t>회합 장소 (베이스보드)</t>
  </si>
  <si>
    <t>회합 장소 (회초리)</t>
  </si>
  <si>
    <t>회초리(11R)</t>
  </si>
  <si>
    <t>곡식 종자</t>
  </si>
  <si>
    <t>베이스보드(12R)</t>
  </si>
  <si>
    <t>1소</t>
  </si>
  <si>
    <t>급한 가족 늘리기</t>
  </si>
  <si>
    <t>4음식(낚시)</t>
  </si>
  <si>
    <t>집 개조(바구니 제작소)</t>
  </si>
  <si>
    <t>바구니 제작소(14R)</t>
  </si>
  <si>
    <t>47점</t>
  </si>
  <si>
    <t>좀 가늘이 늦긴 했어도 그래도 이정도면 선방한것 같아 만족한다. 마지막에 음식 계산 철저히 해서 곡식 안 태웠으면 1점 추가라 그게 좀 아쉬움 + 급가늘을 먼저 갔어야했음</t>
  </si>
  <si>
    <t>경질자기</t>
  </si>
  <si>
    <t>삽쓰는 사람</t>
  </si>
  <si>
    <t>윤리 운동가</t>
  </si>
  <si>
    <t>씨뿌리기 감독관</t>
  </si>
  <si>
    <t>나무 7개</t>
  </si>
  <si>
    <t>갈대 3개</t>
  </si>
  <si>
    <t>흙 8개</t>
  </si>
  <si>
    <t>화덕(4)골조(4)</t>
  </si>
  <si>
    <t>보조설비 세트</t>
  </si>
  <si>
    <t>나무 13개</t>
  </si>
  <si>
    <t>4액션</t>
  </si>
  <si>
    <t>3액션</t>
  </si>
  <si>
    <t>2액션</t>
  </si>
  <si>
    <t>흙 4./48개</t>
  </si>
  <si>
    <t>흙 4./4개</t>
  </si>
  <si>
    <t>배관공 교습</t>
  </si>
  <si>
    <t>선잡기 골조</t>
  </si>
  <si>
    <t>나무 6개</t>
  </si>
  <si>
    <t>주요설비+집고치기</t>
  </si>
  <si>
    <t>선잡기 베틀</t>
  </si>
  <si>
    <t>양 데려오기</t>
  </si>
  <si>
    <t>우물 노리기</t>
  </si>
  <si>
    <t>돌집 만들기</t>
  </si>
  <si>
    <t>배관공?</t>
  </si>
  <si>
    <t>가늘or 선잡기</t>
  </si>
  <si>
    <t>3음식 추가</t>
  </si>
  <si>
    <t>낚시</t>
  </si>
  <si>
    <t>음식 행동?</t>
  </si>
  <si>
    <t>나무 8개정도?</t>
  </si>
  <si>
    <t>ㅍ</t>
  </si>
  <si>
    <t>교습(하인)</t>
  </si>
  <si>
    <t>교습(쟁기제작자)</t>
  </si>
  <si>
    <t>선턴(버터 제조기)</t>
  </si>
  <si>
    <t>수풀</t>
  </si>
  <si>
    <t>음식 행동</t>
  </si>
  <si>
    <t>7음식 확보되었음</t>
  </si>
  <si>
    <t>2음식 (베틀)</t>
  </si>
  <si>
    <t>8음식(곡식,베틀)</t>
  </si>
  <si>
    <t>11월 13일</t>
  </si>
  <si>
    <t>배관공 중심
흙집 골조+하인 콤보</t>
  </si>
  <si>
    <t>- 상당히 플레이 스타일이 안정적으로 변했으나, 보조설비 조건 항상 확인하고 내리는 습관 들일것</t>
  </si>
  <si>
    <t>4/5장</t>
  </si>
  <si>
    <t>가축 전문가/</t>
  </si>
  <si>
    <t>가축 전문가/배관공/하인/쟁기 제작자</t>
  </si>
  <si>
    <t>흙집 골조/화덕/베틀/우물/수영 교습</t>
  </si>
  <si>
    <r>
      <t>흙집 골조/</t>
    </r>
    <r>
      <rPr>
        <b/>
        <sz val="11"/>
        <color theme="1"/>
        <rFont val="맑은 고딕"/>
      </rPr>
      <t>화덕</t>
    </r>
    <r>
      <rPr>
        <sz val="11"/>
        <color theme="1"/>
        <rFont val="맑은 고딕"/>
      </rPr>
      <t>/베틀/</t>
    </r>
    <r>
      <rPr>
        <b/>
        <sz val="11"/>
        <color theme="1"/>
        <rFont val="맑은 고딕"/>
      </rPr>
      <t>우물</t>
    </r>
    <r>
      <rPr>
        <sz val="11"/>
        <color theme="1"/>
        <rFont val="맑은 고딕"/>
      </rPr>
      <t>/수영 교습</t>
    </r>
  </si>
  <si>
    <t>- 상당히 플레이 스타일이 안정적으로 변했으나, 보조설비 조건 항상 확인하고 내리는 습관 들일것. 배관공 중심 엄청 안정적으로 잘 풀어나간 것 같다</t>
  </si>
  <si>
    <t>- 점수를 계산할 때, 가축이 1마리라도 들어 있는 우리 중 우리 안에 가축을 3마리 이상 더 키울 수 있는 우리 1개당 추가점수 1점씩을 받습니다
※ 4점 받았다는 가정 하에 계산</t>
  </si>
  <si>
    <t>- 점수를 계산할 때, 울타리 치지 않은 외양간마다 추가점수 1점씩을 받습니다.
※ 4점 받는다는 가정 하에 계산</t>
  </si>
  <si>
    <t>- 매 라운드가 시작될 때, 아무 종류의 가축 1마리와 곡식 1개, 채소 1개를 음식 5개와 추가점수 2점으로 교환할 수 있습니다
※ 3번 이용했다는 가정</t>
  </si>
  <si>
    <t>- 게임 중 한 번이라도 농장에 더 이상 빈칸이 없게 되면, 그 이후 수확하는 각각의 채소 1개당 추가점수 1점씩을 받습니다
※ 추가점수 3점 받는다는 가정으로 계산</t>
  </si>
  <si>
    <t>- 매 수확마다 가족 먹여살리기 단계에서, 이 카드를 이용하여 나무 1개와 곡식 1개를 추가점수 1점과 음식 2개로 바꿀 수 있습니다
※ 3번 쓴다는 가정 하에 계산</t>
  </si>
  <si>
    <t>- 점수를 계산할 때, 적어도 1마리의 소를 키우고 있는 농장 칸마다(방도 포함) 추가점수 1점씩을 받습니다
※ 3점 받는다는 계산하에 진행</t>
  </si>
  <si>
    <t>- 점수를 계산할 때, 주요 설비의 총 점수를 확인합니다. 이 때 가장 낮은 주요 설비 점수는 2배로 계산합니다. 합계가 5/7/9/11점 이상이면 추가점수 1/2/3/4점을 받습니다
※ 추가점수 2점으로 계산</t>
  </si>
  <si>
    <t>가축 관리지ㅏ</t>
  </si>
  <si>
    <t>실내 장식업자</t>
  </si>
  <si>
    <t>호화로운 숙ㅂ박시설</t>
  </si>
  <si>
    <t>앙의 친구</t>
  </si>
  <si>
    <t>소 구매이</t>
  </si>
  <si>
    <t>가축 관리자 교습</t>
  </si>
  <si>
    <t>양의 친구 or 바구니 나르는 사람 교습</t>
  </si>
  <si>
    <t>베틀(보조설비)</t>
  </si>
  <si>
    <t>3나무 2갈대</t>
  </si>
  <si>
    <t>5나무 2갈대</t>
  </si>
  <si>
    <t>버터 제조기(직업 3개이하)</t>
  </si>
  <si>
    <t>11나무</t>
  </si>
  <si>
    <t>베틀(보조설비, 2나무)</t>
  </si>
  <si>
    <t>가늘 + 베틀 (2나무)</t>
  </si>
  <si>
    <t>교습(바구니 나르는 사람)</t>
  </si>
  <si>
    <t>선턴(버터 제조기</t>
  </si>
  <si>
    <t>우물(주요 설비)</t>
  </si>
  <si>
    <t>설비(우물)</t>
  </si>
  <si>
    <t>10나무 4갈대</t>
  </si>
  <si>
    <t>나무 방 늘리기</t>
  </si>
  <si>
    <t>나무방2개만들기</t>
  </si>
  <si>
    <t>집고치면서 우물</t>
  </si>
  <si>
    <t>쟁기제작자(교습)</t>
  </si>
  <si>
    <t>집고치면서 돌가마</t>
  </si>
  <si>
    <t>가늘+음식바구니</t>
  </si>
  <si>
    <t>음식 8개 필요</t>
  </si>
  <si>
    <t>4개가 더 필요</t>
  </si>
  <si>
    <t>1개</t>
  </si>
  <si>
    <t>양칸가면 음식 2개 더받는격</t>
  </si>
  <si>
    <t>4흙+갈돌음+2갈대</t>
  </si>
  <si>
    <t>울타리치기(4나무)</t>
  </si>
  <si>
    <t>밭(4점)</t>
  </si>
  <si>
    <t>밭(3점)</t>
  </si>
  <si>
    <t>방만들기(3점)</t>
  </si>
  <si>
    <t>씨뿌리기(4점)</t>
  </si>
  <si>
    <t>8음식 필요</t>
  </si>
  <si>
    <t>2음식 확보</t>
  </si>
  <si>
    <t>씨뿌리기(2점)</t>
  </si>
  <si>
    <t>소2마리(3점)</t>
  </si>
  <si>
    <t>1개+3개+2개</t>
  </si>
  <si>
    <t>- 목축 테크 탈 때는 흙집으로 안 가면 버틸 수가 없다</t>
  </si>
  <si>
    <t>- 목축 테크 탈 때는 나무 얻게해주는 카드 없으면, 
흙집으로 안 가면 버틸 수가 없다</t>
  </si>
  <si>
    <t>5/5장</t>
  </si>
  <si>
    <t>- 목축 테크 탈 때는 나무 얻게해주는 카드 없으면, 
흙집으로 안 가면 버틸 수가 없다. 그리고, 가늘 빨리 칠걸 그랬다</t>
  </si>
  <si>
    <t>- 목축 테크 탈 때는 나무 얻게해주는 카드 없으면, 
흙집으로 안 가면 버틸 수가 없다. 그리고 가늘 빨리 칠걸 그랬다</t>
  </si>
  <si>
    <t>베틀 중심</t>
  </si>
  <si>
    <t>베틀 중심 양목축 엔진</t>
  </si>
  <si>
    <r>
      <rPr>
        <b/>
        <sz val="11"/>
        <color theme="1"/>
        <rFont val="맑은 고딕"/>
      </rPr>
      <t>베틀 중심 양목축 엔진</t>
    </r>
  </si>
  <si>
    <t>베틀 + 버터 제조기
양 목축 엔진</t>
  </si>
  <si>
    <r>
      <rPr>
        <b/>
        <sz val="11"/>
        <color theme="1"/>
        <rFont val="맑은 고딕"/>
      </rPr>
      <t>베틀 + 버터 제조기
양 목축 엔진</t>
    </r>
  </si>
  <si>
    <t>양의 친구/가축 관리자/바구니 나르는 사람</t>
  </si>
  <si>
    <t>채굴 망치/화덕/베틀/버터 제조기/우물/</t>
  </si>
  <si>
    <r>
      <t>채굴 망치/</t>
    </r>
    <r>
      <rPr>
        <b/>
        <sz val="11"/>
        <color theme="1"/>
        <rFont val="맑은 고딕"/>
      </rPr>
      <t>화덕</t>
    </r>
    <r>
      <rPr>
        <sz val="11"/>
        <color theme="1"/>
        <rFont val="맑은 고딕"/>
      </rPr>
      <t>/베틀/버터 제조기/</t>
    </r>
    <r>
      <rPr>
        <b/>
        <sz val="11"/>
        <color theme="1"/>
        <rFont val="맑은 고딕"/>
      </rPr>
      <t>우물/</t>
    </r>
  </si>
  <si>
    <t>양의 친구/가축 관리자/바구니 나르는 사람/쟁기 제작자</t>
  </si>
  <si>
    <t>채굴 망치/화덕/베틀/버터 제조기/우물</t>
  </si>
  <si>
    <r>
      <t>채굴 망치/</t>
    </r>
    <r>
      <rPr>
        <b/>
        <sz val="11"/>
        <color theme="1"/>
        <rFont val="맑은 고딕"/>
      </rPr>
      <t>화덕</t>
    </r>
    <r>
      <rPr>
        <sz val="11"/>
        <color theme="1"/>
        <rFont val="맑은 고딕"/>
      </rPr>
      <t>/베틀/버터 제조기/</t>
    </r>
    <r>
      <rPr>
        <b/>
        <sz val="11"/>
        <color theme="1"/>
        <rFont val="맑은 고딕"/>
      </rPr>
      <t>우물</t>
    </r>
  </si>
  <si>
    <t>개척 정리</t>
  </si>
  <si>
    <t>1등 (나)</t>
  </si>
  <si>
    <t>교습 (가축 전문가)</t>
  </si>
  <si>
    <t>회합 장소(흙집 골조)</t>
  </si>
  <si>
    <t>설비 (화덕)</t>
  </si>
  <si>
    <t>0..6</t>
  </si>
  <si>
    <t>나무 5개 갈대 2개</t>
  </si>
  <si>
    <t>흙 2개 나무 1개 갈대 1개</t>
  </si>
  <si>
    <t>갈대 1개 나무 4개 흙 2개</t>
  </si>
  <si>
    <t>가늘 (베틀)</t>
  </si>
  <si>
    <t>2.4+0.29*4</t>
  </si>
  <si>
    <t>가늘(</t>
  </si>
  <si>
    <t>가늘(수영 교습)</t>
  </si>
  <si>
    <t>교습 (하인)</t>
  </si>
  <si>
    <t>교습 (쟁기 제작자)</t>
  </si>
  <si>
    <t>착유ㅜ소</t>
  </si>
  <si>
    <t>흙방 2개</t>
  </si>
  <si>
    <t>흙 10 갈대 3</t>
  </si>
  <si>
    <t>나무 3 흙 -3개 갈대 1개</t>
  </si>
  <si>
    <t>흙 10 갈대 2\</t>
  </si>
  <si>
    <t>흙 10 갈대 4</t>
  </si>
  <si>
    <t>흙방 1개</t>
  </si>
  <si>
    <t>흙 5 갈대 2</t>
  </si>
  <si>
    <t>갈대 3개 흙 2개</t>
  </si>
  <si>
    <t>나무 3 흙 -2개 갈대 1개</t>
  </si>
  <si>
    <t>갈대 3개 흙 3개</t>
  </si>
  <si>
    <t xml:space="preserve">갈대 3개 흙 3개 </t>
  </si>
  <si>
    <t xml:space="preserve">나무 3개 갈대 3개 흙 3개 </t>
  </si>
  <si>
    <t>집고치고</t>
  </si>
  <si>
    <t>집고치기 보조설비</t>
  </si>
  <si>
    <t>흙판(보조설비)</t>
  </si>
  <si>
    <t>집고치기(보조설비)</t>
  </si>
  <si>
    <t>교습(보조 경작자)</t>
  </si>
  <si>
    <t>교습(건초 말리는 사람)</t>
  </si>
  <si>
    <t>교습(큰낫 일꾼)</t>
  </si>
  <si>
    <t>씨뿌리기?</t>
  </si>
  <si>
    <t>건초 말리는 사람 교습</t>
  </si>
  <si>
    <t>나무얻기</t>
  </si>
  <si>
    <t>가늘+녹지계획</t>
  </si>
  <si>
    <t>채소종자</t>
  </si>
  <si>
    <t>3나무 or 갈돌음</t>
  </si>
  <si>
    <t>갈돌음 집고치기 합쳐서 4점</t>
  </si>
  <si>
    <t>1소 (2점에 4음식)</t>
  </si>
  <si>
    <t>4음식 확보됨</t>
  </si>
  <si>
    <t>4음식 필요함</t>
  </si>
  <si>
    <t>1소 (2점에 1음식)</t>
  </si>
  <si>
    <t>2점에 2음식</t>
  </si>
  <si>
    <t>5음식 필요함</t>
  </si>
  <si>
    <t>날품팔이 (2점에 2음식)</t>
  </si>
  <si>
    <t>5음식 확보됨</t>
  </si>
  <si>
    <t>날품팔이 (4점에 2음식)</t>
  </si>
  <si>
    <t>11월 16일</t>
  </si>
  <si>
    <t>이것도 아니고 저것도 아닌..</t>
  </si>
  <si>
    <t>- 가늘/음식엔진만 머릿속에 넣고 나머지는 다 빼라</t>
  </si>
  <si>
    <t>- 가늘/음식엔진만 머릿속에 넣고 나머지는 다 빼라. 우물은 먹을 수 있으면 꼭 챙기고 중간에</t>
  </si>
  <si>
    <t>보조 경작자/큰낫 일꾼/건초 말리는 사람</t>
  </si>
  <si>
    <t>화덕/젖짜기 의자/녹지 계획</t>
  </si>
  <si>
    <r>
      <t>화덕/</t>
    </r>
    <r>
      <rPr>
        <sz val="11"/>
        <color theme="1"/>
        <rFont val="맑은 고딕"/>
      </rPr>
      <t>젖짜기 의자/녹지 계획</t>
    </r>
  </si>
  <si>
    <t>가늘 퀘스트</t>
  </si>
  <si>
    <t>음식 엔진 퀘스트</t>
  </si>
  <si>
    <t>- 가늘/음식엔진만 머릿속에 넣고 나머지는 다 빼라. 우물은 먹을 수 있으면 꼭 챙기고 중간에. 건축 자원을 지원하는 카드가 하나도 없으면 게임이 매우 힘들어진다</t>
  </si>
  <si>
    <t>가숙 상인</t>
  </si>
  <si>
    <t>으</t>
  </si>
  <si>
    <t>교외 관리인 교습</t>
  </si>
  <si>
    <t>화덕 제작</t>
  </si>
  <si>
    <t>울타리 짓기</t>
  </si>
  <si>
    <t>6(나무+흙)</t>
  </si>
  <si>
    <t>순종 사육사 교습</t>
  </si>
  <si>
    <t>19개 총합</t>
  </si>
  <si>
    <t>화로 (설비)</t>
  </si>
  <si>
    <t>6돌</t>
  </si>
  <si>
    <t>집고치면서 그릇제작소</t>
  </si>
  <si>
    <t>3돌/3돌</t>
  </si>
  <si>
    <t>4자원</t>
  </si>
  <si>
    <t>교습(돼지 소유주)</t>
  </si>
  <si>
    <t>교습(재산 관리인)</t>
  </si>
  <si>
    <t>- 초반 4장을 알짜배기로 안 쓰면 게임이 힘들어진다. 처음 교습하는 직업은 1주기에 바로 쓸 수 있는 거 아니면 내리지마라 그리고 동물훈련가는 교습 테크다</t>
  </si>
  <si>
    <t>동물 훈련가/교외 관리인/가축 상인/재산 관리인/</t>
  </si>
  <si>
    <t>3/3장</t>
  </si>
  <si>
    <t>동물 훈련가/교외 관리인/가축 상인/재산 관리인/돼지 소유주</t>
  </si>
  <si>
    <t>동물 훈련가 쓰고 겜터짐</t>
  </si>
  <si>
    <t>목축 도전 But 실패</t>
  </si>
  <si>
    <t>다진 흙/사슬 써레/화로</t>
  </si>
  <si>
    <r>
      <t>다진 흙/사슬 써레/</t>
    </r>
    <r>
      <rPr>
        <b/>
        <sz val="11"/>
        <color theme="1"/>
        <rFont val="맑은 고딕"/>
      </rPr>
      <t>화로</t>
    </r>
  </si>
  <si>
    <t>5/3장</t>
  </si>
  <si>
    <t>양 보행ㅈ자</t>
  </si>
  <si>
    <t>6개 추가 예정</t>
  </si>
  <si>
    <t>4개 추가 예정</t>
  </si>
  <si>
    <t>3개 추가 예정</t>
  </si>
  <si>
    <t>강시슭 양치기</t>
  </si>
  <si>
    <t>채칼(c)_</t>
  </si>
  <si>
    <t>협력 쟁기꾼</t>
  </si>
  <si>
    <t>곡식용체</t>
  </si>
  <si>
    <t>밭 가꾸는 사람</t>
  </si>
  <si>
    <t>가늘 행동 하다가 안 되면 음식 엔진</t>
  </si>
  <si>
    <t>작은우리</t>
  </si>
  <si>
    <t>(2소)</t>
  </si>
  <si>
    <t>흙집 고치기
(흙 6 갈대 1 돌 1</t>
  </si>
  <si>
    <t>흙집 고치기
(흙 6 갈대 1 돌 1)</t>
  </si>
  <si>
    <t>나무 방 만들기
(나무 5개 갈대 2개)</t>
  </si>
  <si>
    <t>선잡고 가늘</t>
  </si>
  <si>
    <t>돌집 고치기
(</t>
  </si>
  <si>
    <t>2흙 내고 관측탑</t>
  </si>
  <si>
    <t>관측탑 (2흙)</t>
  </si>
  <si>
    <t>돌집 고치기
(돌 4 갈대 1)</t>
  </si>
  <si>
    <t>돌집 고치기+난로
(돌 4 갈대 1)</t>
  </si>
  <si>
    <t>흙집 고치기+흙가마
(흙 6 갈대 1 돌 1)</t>
  </si>
  <si>
    <t>ㅇ</t>
  </si>
  <si>
    <t>8흙</t>
  </si>
  <si>
    <t>집고치기+흙가마</t>
  </si>
  <si>
    <t>흙집 고치기+흙가마
(흙 4 갈대 1 돌 1)</t>
  </si>
  <si>
    <t>11월 17일</t>
  </si>
  <si>
    <t>3방 빠른돌집 하인</t>
  </si>
  <si>
    <t>방 늘리기</t>
  </si>
  <si>
    <t>나무 3개 갈대 2개, 방만들기</t>
  </si>
  <si>
    <t>3흙 1갈대</t>
  </si>
  <si>
    <t>3돌 1갈대</t>
  </si>
  <si>
    <t>3흙 1갈대 2돌 +2자원</t>
  </si>
  <si>
    <t xml:space="preserve">5돌 1갈대 +2자원 </t>
  </si>
  <si>
    <t xml:space="preserve"> 화로</t>
  </si>
  <si>
    <t xml:space="preserve">가늘 </t>
  </si>
  <si>
    <t>집 고치는 숙련공 교습</t>
  </si>
  <si>
    <t>하인 (교습)</t>
  </si>
  <si>
    <t>씨를 2개이상 꼭 뿌려야함</t>
  </si>
  <si>
    <t>밭4</t>
  </si>
  <si>
    <t>채소1</t>
  </si>
  <si>
    <t>양1</t>
  </si>
  <si>
    <t>돼지1</t>
  </si>
  <si>
    <t>소1</t>
  </si>
  <si>
    <t>점토 채굴장 6흙일 때 흙채굴장</t>
  </si>
  <si>
    <t>밭1</t>
  </si>
  <si>
    <t>곡식 활용(8음식)</t>
  </si>
  <si>
    <t>곡식 활용(8음식 or 낚시)</t>
  </si>
  <si>
    <t>- 3인까지는 가늘을 빨리 해야하고, 음식 엔진 확보가 안 된 상황에서 초반 음식 주는 직업갖고 잘 버텼다.</t>
  </si>
  <si>
    <t>- 3인까지는 가늘을 빨리 해야하고, 음식 엔진 확보가 안 된 상황에서 초반 음식 주는 직업갖고 잘 버텼다. 무조건 가늘 중심으로 하되, 안 될 때는 음식 엔진을 서브로 가는 식으로 해야한다</t>
  </si>
  <si>
    <t>늦은 하인 돌집</t>
  </si>
  <si>
    <t>삽 쓰는 사람/집 고치는 숙련공/하인</t>
  </si>
  <si>
    <t>어망/흙지게/우물</t>
  </si>
  <si>
    <t>어망/흙지게/우물/두더지 쟁기/돌가마</t>
  </si>
  <si>
    <r>
      <t>어망/흙지게/</t>
    </r>
    <r>
      <rPr>
        <b/>
        <sz val="11"/>
        <color theme="1"/>
        <rFont val="맑은 고딕"/>
      </rPr>
      <t>우물</t>
    </r>
    <r>
      <rPr>
        <sz val="11"/>
        <color theme="1"/>
        <rFont val="맑은 고딕"/>
      </rPr>
      <t>/두더지 쟁기/</t>
    </r>
    <r>
      <rPr>
        <b/>
        <sz val="11"/>
        <color theme="1"/>
        <rFont val="맑은 고딕"/>
      </rPr>
      <t>돌가마</t>
    </r>
  </si>
  <si>
    <t>3/5장</t>
  </si>
  <si>
    <t>잡화 상인</t>
  </si>
  <si>
    <t>11월 18일</t>
  </si>
  <si>
    <t>다방 플레이 
목축 음식 엔진</t>
  </si>
  <si>
    <t>목수/가축 상인/치안관</t>
  </si>
  <si>
    <t>사료/화덕/우물</t>
  </si>
  <si>
    <r>
      <t>사료/</t>
    </r>
    <r>
      <rPr>
        <b/>
        <sz val="11"/>
        <color theme="1"/>
        <rFont val="맑은 고딕"/>
      </rPr>
      <t>화덕/우물</t>
    </r>
  </si>
  <si>
    <t>3/4장</t>
  </si>
  <si>
    <t>- 제한 있는 핵심 보조설비들 제한 있는거 잊지말고,
계획대로 안 되도 당황하지말고 빠르게 방법 찾아라</t>
  </si>
  <si>
    <t>형재의 우애</t>
  </si>
  <si>
    <t>외양간 청소부 교습</t>
  </si>
  <si>
    <t>42개 음식</t>
  </si>
  <si>
    <t>45개 음식</t>
  </si>
  <si>
    <t>음식 7개-나무 1개</t>
  </si>
  <si>
    <t>나무 3개 음식 2개</t>
  </si>
  <si>
    <t>나무 1개 음식 4개</t>
  </si>
  <si>
    <t>씨뿌리기(5점)</t>
  </si>
  <si>
    <t>울타리치기(5점)</t>
  </si>
  <si>
    <t>밭가씨뿌(6점)</t>
  </si>
  <si>
    <t>그릇 제작소 만들기(2점+2음식)</t>
  </si>
  <si>
    <t>급한 가늘(3점)</t>
  </si>
  <si>
    <t>여관 기반</t>
  </si>
  <si>
    <t>여관+나교사 합체
나무 중심 플레이</t>
  </si>
  <si>
    <t>나무 교환하는 사람/외양간 청소부/구매하는 사람</t>
  </si>
  <si>
    <t>숲 속 여관/형제의 우애/농장 상점/갈대 연못/외바퀴 쟁기/우물</t>
  </si>
  <si>
    <t>숲 속 여관/형제의 우애/농장 상점/갈대 연못/외바퀴 쟁기/우물/그릇 제작소</t>
  </si>
  <si>
    <r>
      <t>숲 속 여관/형제의 우애/농장 상점/갈대 연못/외바퀴 쟁기/</t>
    </r>
    <r>
      <rPr>
        <b/>
        <sz val="11"/>
        <color theme="1"/>
        <rFont val="맑은 고딕"/>
      </rPr>
      <t>우물</t>
    </r>
    <r>
      <rPr>
        <sz val="11"/>
        <color theme="1"/>
        <rFont val="맑은 고딕"/>
      </rPr>
      <t>/</t>
    </r>
    <r>
      <rPr>
        <b/>
        <sz val="11"/>
        <color theme="1"/>
        <rFont val="맑은 고딕"/>
      </rPr>
      <t>그릇 제작소</t>
    </r>
  </si>
  <si>
    <t>2/8장</t>
  </si>
  <si>
    <t>- 뭐지? 숲속 여관 분명히 나만 썼는데 점수가 왜 이모양..?</t>
  </si>
  <si>
    <t>흘 공급</t>
  </si>
  <si>
    <t>석회 비료ㅕ</t>
  </si>
  <si>
    <t>hook knife</t>
  </si>
  <si>
    <t>날품 콤보+농경</t>
  </si>
  <si>
    <t>목양ㅈ업자</t>
  </si>
  <si>
    <t>자재 나르는 사람</t>
  </si>
  <si>
    <t>나무 7개는 있어야 밭울타리 제대로 기능함</t>
  </si>
  <si>
    <t>날품</t>
  </si>
  <si>
    <t>3돌 or 나무</t>
  </si>
  <si>
    <t>집고치기+밭울타리</t>
  </si>
  <si>
    <t>선잡기(지속적 호밀경작)</t>
  </si>
  <si>
    <t>음식 3개</t>
  </si>
  <si>
    <t>외양간 2개</t>
  </si>
  <si>
    <t>1행동 음식 1개로</t>
  </si>
  <si>
    <t>나무 1개</t>
  </si>
  <si>
    <t>3액션으로</t>
  </si>
  <si>
    <t>3점 음식 8개</t>
  </si>
  <si>
    <t>5점</t>
  </si>
  <si>
    <t>4액션으로</t>
  </si>
  <si>
    <t>2액션 2점</t>
  </si>
  <si>
    <t>11월 23일</t>
  </si>
  <si>
    <t>보조경작자+농번기 일꾼
날품 콤보 곡식엔진</t>
  </si>
  <si>
    <t>보조 경작자/농번기 일꾼</t>
  </si>
  <si>
    <t>갈대 지대/소방용 호수/곡식 저장고/흙가마</t>
  </si>
  <si>
    <t>갈대 지대/소방용 호수/곡식 저장고/흙가마/밭 울타리/지속적 호밀 경작</t>
  </si>
  <si>
    <r>
      <t>갈대 지대/소방용 호수/곡식 저장고/</t>
    </r>
    <r>
      <rPr>
        <b/>
        <sz val="11"/>
        <color theme="1"/>
        <rFont val="맑은 고딕"/>
      </rPr>
      <t>흙가마/</t>
    </r>
    <r>
      <rPr>
        <sz val="11"/>
        <color theme="1"/>
        <rFont val="맑은 고딕"/>
      </rPr>
      <t>밭 울타리/지속적 호밀 경작</t>
    </r>
  </si>
  <si>
    <t>- 빠른 방 만들기가 안 될때의 3방운영은 진리다 ㄹㅇ로</t>
  </si>
  <si>
    <t>소방용  호수</t>
  </si>
  <si>
    <t>11월 27일</t>
  </si>
  <si>
    <t>3인 곡식 음식엔진 플레이</t>
  </si>
  <si>
    <r>
      <rPr>
        <b/>
        <sz val="11"/>
        <color theme="1"/>
        <rFont val="맑은 고딕"/>
      </rPr>
      <t>3인 곡식 음식엔진 플레이</t>
    </r>
  </si>
  <si>
    <t>보조 경작자/큰낫 일꾼</t>
  </si>
  <si>
    <t>개인 숲/나무밭/밭 울타리/사료</t>
  </si>
  <si>
    <t>- 가족 늘릴때 나무밭 만든다고 감점 받은 것도 손해였고, 
돌가마 지어놓고 나무가 좋긴 하다만 빠르게 씨를 안 뿌려서 힘들었던 것 같음</t>
  </si>
  <si>
    <t>작은 맥주잔</t>
  </si>
  <si>
    <t>12월 5일</t>
  </si>
  <si>
    <t>곡식 기반 엔진</t>
  </si>
  <si>
    <t>루트 연주자</t>
  </si>
  <si>
    <t>숲 속 바위</t>
  </si>
  <si>
    <t>나머지</t>
  </si>
  <si>
    <t>연못 오두막
(직업 딱 2개)</t>
  </si>
  <si>
    <t>맥주 테이블
(곡식 창고에 없음)</t>
  </si>
  <si>
    <t>밭 울타리
(밭 타일 다 차있어야 함)</t>
  </si>
  <si>
    <t>갈돌으,ㅁ</t>
  </si>
  <si>
    <t>흙가마 빌드업</t>
  </si>
  <si>
    <t>빨리 밭 갈고 씨뿌리기</t>
  </si>
  <si>
    <t>빨리 씨뿌리기</t>
  </si>
  <si>
    <t>경작자 교습</t>
  </si>
  <si>
    <t>4흙 얻기</t>
  </si>
  <si>
    <t>밭갈고 씨뿌리기</t>
  </si>
  <si>
    <t>다 씨뿌리고</t>
  </si>
  <si>
    <t>선잡기 (맥주 테이블)</t>
  </si>
  <si>
    <t xml:space="preserve">주요설비 </t>
  </si>
  <si>
    <t>주요설비(씨악)</t>
  </si>
  <si>
    <t>주요설비(씨앗)</t>
  </si>
  <si>
    <t>집고치기 or 선잡기</t>
  </si>
  <si>
    <t>음식 엔진 완성</t>
  </si>
  <si>
    <t>2곡식밭에 가마 획득</t>
  </si>
  <si>
    <t>흙가마 만들기</t>
  </si>
  <si>
    <t>흙 획득</t>
  </si>
  <si>
    <t>주요설비 액션</t>
  </si>
  <si>
    <t>나무획득</t>
  </si>
  <si>
    <t>나무 or 밭</t>
  </si>
  <si>
    <t>무</t>
  </si>
  <si>
    <t>숲속 우물</t>
  </si>
  <si>
    <t>종자or나무</t>
  </si>
  <si>
    <t>선잡기 or 가축</t>
  </si>
  <si>
    <t>집고치기 후 설비</t>
  </si>
  <si>
    <t>그릇제작소</t>
  </si>
  <si>
    <t>그릇제작소 제작</t>
  </si>
  <si>
    <t>14개 / 16</t>
  </si>
  <si>
    <t>14개 / 16 개</t>
  </si>
  <si>
    <t>가축(2양 or 1소)</t>
  </si>
  <si>
    <t>15개 / 16 개</t>
  </si>
  <si>
    <t>급가느</t>
  </si>
  <si>
    <t>무자녀 +경작자+맥주테이블
농경엔진</t>
  </si>
  <si>
    <t>무자녀/경작자</t>
  </si>
  <si>
    <t>연못 오두막/맥주 테이블/흙가마</t>
  </si>
  <si>
    <t>연못 오두막/맥주 테이블/흙가마/우물/밭 울타리/숲속 바위</t>
  </si>
  <si>
    <r>
      <t>연못 오두막/맥주 테이블/</t>
    </r>
    <r>
      <rPr>
        <b/>
        <sz val="11"/>
        <color theme="1"/>
        <rFont val="맑은 고딕"/>
      </rPr>
      <t>흙가마/우물/</t>
    </r>
    <r>
      <rPr>
        <sz val="11"/>
        <color theme="1"/>
        <rFont val="맑은 고딕"/>
      </rPr>
      <t>밭 울타리/숲속 바위</t>
    </r>
  </si>
  <si>
    <t>4/4장</t>
  </si>
  <si>
    <t>- 카드가 사기로 나오긴 했다 (무자녀, 경작자, 맥주테이블, 밭 울타리). 덕분에 기본에 충실 (가늘/음식엔진</t>
  </si>
  <si>
    <t>- 카드가 사기로 나오긴 했다 (무자녀, 경작자, 맥주테이블, 밭 울타리). 덕분에 기본에 충실 (가늘/음식엔진/울타리)해서 함</t>
  </si>
  <si>
    <t>교습 2번</t>
  </si>
  <si>
    <t>경작자/양 공급자</t>
  </si>
  <si>
    <t>양공급자 교습</t>
  </si>
  <si>
    <t>나무액션(보조설비 등)</t>
  </si>
  <si>
    <t>채소 2개 확보됨</t>
  </si>
  <si>
    <t>농지/나무</t>
  </si>
  <si>
    <t>밭가씨뿌 or 급가늘</t>
  </si>
  <si>
    <t>돌집고치기</t>
  </si>
  <si>
    <t>돌집고치기+콩밭</t>
  </si>
  <si>
    <t>가축1마리</t>
  </si>
  <si>
    <t>선잡으면서 나무화석</t>
  </si>
  <si>
    <t>12월 9일</t>
  </si>
  <si>
    <t>경작자+양 공급자
흙가마 곡식 엔진</t>
  </si>
  <si>
    <t>소규모 농부/경작자/양 공급자</t>
  </si>
  <si>
    <t>틀톱/대형 온실/우물/흙가마/콩밭</t>
  </si>
  <si>
    <r>
      <t>틀톱/대형 온실/</t>
    </r>
    <r>
      <rPr>
        <b/>
        <sz val="11"/>
        <color theme="1"/>
        <rFont val="맑은 고딕"/>
      </rPr>
      <t>우물/흙가마/</t>
    </r>
    <r>
      <rPr>
        <sz val="11"/>
        <color theme="1"/>
        <rFont val="맑은 고딕"/>
      </rPr>
      <t>콩밭</t>
    </r>
  </si>
  <si>
    <t>- 나쁘지않았는데 초반부 드랲은 초반 카드 후반부 드랲은 후반에 좋은 카드 or 견제를 위한 드랲으로 하면 더 점수가 잘 나올 것 같다</t>
  </si>
  <si>
    <t>[3방] 경작자+양 공급자
흙가마 곡식 엔진</t>
  </si>
  <si>
    <t>[3방] 무자녀 +경작자+맥주테이블
농경엔진</t>
  </si>
  <si>
    <t>[3방]보조경작자+농번기 일꾼
날품 콤보 곡식엔진</t>
  </si>
  <si>
    <t>[3방] 곡식 음식엔진 플레이</t>
  </si>
  <si>
    <r>
      <rPr>
        <b/>
        <sz val="11"/>
        <color theme="1"/>
        <rFont val="맑은 고딕"/>
      </rPr>
      <t>[3방] 곡식 음식엔진 플레이</t>
    </r>
  </si>
  <si>
    <t>농지 돌보미</t>
  </si>
  <si>
    <t>회합</t>
  </si>
  <si>
    <t>돌가마 만들기</t>
  </si>
  <si>
    <t>1곡식만 남겼어도...</t>
  </si>
  <si>
    <t>선잡기(맥주테이블)</t>
  </si>
  <si>
    <t>날품(밭)</t>
  </si>
  <si>
    <t>선잡ㅈ기</t>
  </si>
  <si>
    <t>집고치면서 울타리</t>
  </si>
  <si>
    <t>12월 13일</t>
  </si>
  <si>
    <t>[3방] 창고 관리인+보조 경작자 곡식 엔진</t>
  </si>
  <si>
    <t>3/2장</t>
  </si>
  <si>
    <t>- 뭐가 이렇게 어렵지... 할만했던거 같은데 맥주 테이블</t>
  </si>
  <si>
    <t>[3방] 창곡식 엔진</t>
  </si>
  <si>
    <t>- 뭐가 이렇게 어렵지... 할만했던거 같은데 맥주 테이블 내리는 타이밍을 힘들어해서 빡셌다 경기가</t>
  </si>
  <si>
    <t>[3방] 창고 관리인
+맥주테이블 곡식 엔진</t>
  </si>
  <si>
    <t>- 뭐가 이렇게 어렵지... 할만했던거 같은데 맥주 테이블 내리는 타이밍을 힘들어해서 빡셌다 경기가 (돌가마 견제당할뻔)</t>
  </si>
  <si>
    <t>- 뭐가 이렇게 어렵지... 할만했던거 같은데 맥주 테이블 내리는 타이밍을 힘들어해서 빡셌다 경기가 (돌가마 견제당할뻔)
중반에 채소 집지 말고 나무나 더 집을 걸 그랬나</t>
  </si>
  <si>
    <t>창고 관리인/보조 경작자</t>
  </si>
  <si>
    <t>채칼/돌가마/맥주 테이블</t>
  </si>
  <si>
    <r>
      <t>채칼/</t>
    </r>
    <r>
      <rPr>
        <b/>
        <sz val="11"/>
        <color theme="1"/>
        <rFont val="맑은 고딕"/>
      </rPr>
      <t>돌가마/맥주 테이블</t>
    </r>
  </si>
  <si>
    <r>
      <t>채칼/</t>
    </r>
    <r>
      <rPr>
        <b/>
        <sz val="11"/>
        <color theme="1"/>
        <rFont val="맑은 고딕"/>
      </rPr>
      <t>돌가마/</t>
    </r>
    <r>
      <rPr>
        <sz val="11"/>
        <color theme="1"/>
        <rFont val="맑은 고딕"/>
      </rPr>
      <t>맥주 테이블</t>
    </r>
  </si>
  <si>
    <t>- 뭐가 이렇게 어렵지... 할만했던거 같은데 맥주 테이블 내리는 타이밍을 힘들어해서 빡셌다 맥주 테이블은 곡식이 쉽게 확보 가능하다면 1주기에 좀 손해보더라도 내리는게 좋을 것 같다</t>
  </si>
  <si>
    <t>밭/울타리</t>
  </si>
  <si>
    <t>없는 거</t>
  </si>
  <si>
    <t>- 뭐가 이렇게 어렵지... 할만했던거 같은데 맥주 테이블 내리는 타이밍을 힘들어해서 빡셌다 맥주 테이블은 곡식이 쉽게 확보 가능하다면 1주기에 좀 손해보더라도 내리는게 좋을 것 같다
그리고 보조 경작자는 후반 밭갈기를 가능하게 해서 보조 경작자 있다면 울타리부터</t>
  </si>
  <si>
    <t>- 뭐가 이렇게 어렵지... 할만했던거 같은데 맥주 테이블 내리는 타이밍을 힘들어해서 빡셌다 맥주 테이블은 곡식이 쉽게 확보 가능하다면 1주기에 좀 손해보더라도 내리는게 좋을 것 같다
그리고 보조 경작자는 후반 밭갈기를 가능하게 해서 보조 경작자 있다면 밭 적당히 갈고 울타리부터</t>
  </si>
  <si>
    <t>22. 12. 13 Lumin Spering 공략</t>
  </si>
  <si>
    <t>22. 12. 15 재완이랑 내 플레이 복기</t>
  </si>
  <si>
    <t>느낀 점</t>
  </si>
  <si>
    <t>소상이</t>
  </si>
  <si>
    <t>돌 조각가</t>
  </si>
  <si>
    <t>벽돌 망치ㅏ</t>
  </si>
  <si>
    <t>ㄷ</t>
  </si>
  <si>
    <t>외양간 조련사</t>
  </si>
  <si>
    <t>집고치면서 화덕</t>
  </si>
  <si>
    <t>그릇 제작소(음식)</t>
  </si>
  <si>
    <t>현배 4음식 확보</t>
  </si>
  <si>
    <t>1소 (4음식 1점)</t>
  </si>
  <si>
    <t>밭/날품</t>
  </si>
  <si>
    <t>흙 한번</t>
  </si>
  <si>
    <t>상위 행동</t>
  </si>
  <si>
    <t>4음식 포기하고 1점</t>
  </si>
  <si>
    <t>양: 4음식 포기하고 1점</t>
  </si>
  <si>
    <t>채소: 3음식 1점</t>
  </si>
  <si>
    <t>흙: 1점 포기하고 2음식</t>
  </si>
  <si>
    <t>소 2마리: 1점 4음식</t>
  </si>
  <si>
    <t>12월 16일</t>
  </si>
  <si>
    <t>- 너무 어려운 테크였는데 좀 더 흙 비축이 빨리 나왔으면 좋지 않았을까 싶다. 그럼 나쁘지않은 게임이 되었을 것 같은데.. 여러모로 아쉬움</t>
  </si>
  <si>
    <t>[3방] 맥주테이블 기반
화덕 활용 잡탕 음식엔진</t>
  </si>
  <si>
    <t>토양 과학자/보조 경작자</t>
  </si>
  <si>
    <t>맥주 테이블/벽돌 망치/화덕/우물/그릇 제작소/흙 비축</t>
  </si>
  <si>
    <r>
      <t>맥주 테이블/벽돌 망치/</t>
    </r>
    <r>
      <rPr>
        <b/>
        <sz val="11"/>
        <color theme="1"/>
        <rFont val="맑은 고딕"/>
      </rPr>
      <t>화덕/우물/그릇 제작소/</t>
    </r>
    <r>
      <rPr>
        <sz val="11"/>
        <color theme="1"/>
        <rFont val="맑은 고딕"/>
      </rPr>
      <t>흙 비축</t>
    </r>
  </si>
  <si>
    <t>- 너무 어려운 테크였는데 좀 더 흙 비축을 빨리 드랍했으면 좋지 않았을까 싶다. 그럼 나쁘지않은 게임이 되었을 것 같은데.. 애초에 가마 뺏긴 것도 그렇고 여러모로 아쉬움</t>
  </si>
  <si>
    <t>- 너무 어려운 테크였는데 좀 더 흙 비축을 빨리 드랍했으면 좋지 않았을까 싶다. 그럼 나쁘지않은 게임이 되었을 것 같은데.. 애초에 가마 뺏긴 것도 그렇고 여러모로 아쉬움
3주기까지 음식엔진 확립 못 한것도 크다. 우물 보다도 채소 밭이나 갈았으면 더 좋지 않았을까 
교습 - 날품 - 채소 / 날품 or 밭 - 채소 - 씨뿌리기</t>
  </si>
  <si>
    <t>- 너무 어려운 테크였는데 좀 더 흙 비축을 빨리 드랍했으면 좋지 않았을까 싶다. 그럼 나쁘지않은 게임이 되었을 것 같은데.. 애초에 가마 뺏긴 것도 그렇고 여러모로 아쉬움
3주기까지 음식엔진 확립 못 한것도 크다. 우물 보다도 채소 밭이나 갈았으면 더 좋지 않았을까 
교습 - 날품 - 채소 / 날품 or 밭 - 채소 - 씨뿌리기
연인 그리고 왜 안 내림? ㄷㄷ;</t>
  </si>
  <si>
    <t>- 너무 어려운 테크였는데 좀 더 흙 비축을 빨리 드랍했으면 좋지 않았을까 싶다. 그럼 나쁘지않은 게임이 되었을 것 같은데.. 애초에 가마 뺏긴 것도 그렇고 여러모로 아쉬움 (흙비축만 빨리써서 흙콤만 만들었어도 좋았음)
3주기까지 음식엔진 확립 못 한것도 크다. 우물 보다도 채소 밭이나 갈았으면 더 좋지 않았을까 
교습 - 날품 - 채소 / 날품 or 밭 - 채소 - 씨뿌리기
연인 그리고 왜 안 내림? ㄷㄷ;</t>
  </si>
  <si>
    <t>흙 3번</t>
  </si>
  <si>
    <t>나무 4번</t>
  </si>
  <si>
    <t>수집가 교습</t>
  </si>
  <si>
    <t>22. 12. 16. 루민 강의 Part 6B</t>
  </si>
  <si>
    <t>22. 12. 17. BGA PWR ELO &gt; 200 보조설비 분석</t>
  </si>
  <si>
    <t>- (밭 타일이나 밭으로 취급하는 카드인) 밭을 일굴 때마다, 음식 1개를 내고 돌 1개를 가져올 수 있습니다.</t>
  </si>
  <si>
    <t>- (비용으로 당신의 개인 창고에 있는 외양간 1개를 게임으로부터 제거합니다.) 매 수확릐 농장 단계가 끝난 후에, 개인 창고에 있는 울타리 1개와 곡식 1개를 음식 5개로 바꿀 수 있습니다(사용한 울타리는 게임에서 제거합니다)
※ 3번쓴다는 가정 하에 진행</t>
  </si>
  <si>
    <t>- (비용으로 당신의 개인 창고에 있는 외양간 1개를 게임으로부터 제거합니다.) 매 수확의 농장 단계가 끝난 후에, 개인 창고에 있는 울타리 1개와 곡식 1개를 음식 5개로 바꿀 수 있습니다(사용한 울타리는 게임에서 제거합니다)
※ 3번쓴다는 가정 하에 진행</t>
  </si>
  <si>
    <t>- 즉시 빈 밭에 돌 1개씩을 놓습니다. 이렇게 돌이 심겨진 밭에는 작물이 있는 것으로 취급합니다. 다음 농장 단계에서 이 카드로 놓은 돌을 수확합니다. (사용 후 왼쪽 플레이어에게 넘깁니다)</t>
  </si>
  <si>
    <t>22. 12. 17. BGA PWR ELO &gt; 200 보조설비 분석 (2)</t>
  </si>
  <si>
    <t>교회 묘자ㅣ</t>
  </si>
  <si>
    <t>채칼 중심</t>
  </si>
  <si>
    <t xml:space="preserve">채칼 중심 </t>
  </si>
  <si>
    <t>집?</t>
  </si>
  <si>
    <t>채칼 중심/화덕</t>
  </si>
  <si>
    <t>폐쇄형</t>
  </si>
  <si>
    <t>폐쇄형 발코니 ㅏㅇ</t>
  </si>
  <si>
    <t>우리짓기 명수</t>
  </si>
  <si>
    <t>웡예용 칼ㅋ</t>
  </si>
  <si>
    <t>씨뿌리기 (종자 빵굽기)</t>
  </si>
  <si>
    <t>나무or밭</t>
  </si>
  <si>
    <t>갈대or갈돌음</t>
  </si>
  <si>
    <t>가늘 어차피 늦어졌으면 나무 탈게 아니라 곡식 얻어서 2곡식밭이라도 좀 만들어놓지...</t>
  </si>
  <si>
    <t>농지?</t>
  </si>
  <si>
    <t>농지 or 나무</t>
  </si>
  <si>
    <t>밭(나무획득)</t>
  </si>
  <si>
    <t>음식 4개</t>
  </si>
  <si>
    <t>음식 4개/8개</t>
  </si>
  <si>
    <t>양은 2점에 음식 1개</t>
  </si>
  <si>
    <t>12월 17일</t>
  </si>
  <si>
    <t>[3방] 짬탕</t>
  </si>
  <si>
    <t>[3방] 짬탕...</t>
  </si>
  <si>
    <t>흙 파수꾼/경작자</t>
  </si>
  <si>
    <t>폐쇄형 발코니 창 / 베틀 / 곡식용 체 / 흙가마</t>
  </si>
  <si>
    <r>
      <t xml:space="preserve">폐쇄형 발코니 창 / 베틀 / 곡식용 체 / </t>
    </r>
    <r>
      <rPr>
        <b/>
        <sz val="11"/>
        <color theme="1"/>
        <rFont val="맑은 고딕"/>
      </rPr>
      <t>흙가마</t>
    </r>
  </si>
  <si>
    <t xml:space="preserve">가늘 어차피 늦어졌으면 나무 탈게 아니라 곡식 얻어서 2곡식밭이라도 좀 만들어놓지...
발코니 </t>
  </si>
  <si>
    <t>가늘 어차피 늦어졌으면 나무 탈게 아니라 곡식 얻어서 2곡식밭이라도 좀 만들어놓지...
발코니 창이나 흙 파수꾼 괜히 썼다. 하던 대로 하는게 제일 잘한다</t>
  </si>
  <si>
    <t>음식엔진 필요 액션</t>
  </si>
  <si>
    <t>가늘 필요액션</t>
  </si>
  <si>
    <t>나무 골조 집</t>
  </si>
  <si>
    <t>정보원/덫제작자</t>
  </si>
  <si>
    <t>울타리 쳐서 돼지 번식</t>
  </si>
  <si>
    <t>화덕 만들기</t>
  </si>
  <si>
    <t>벌목꾼 교습</t>
  </si>
  <si>
    <t>방만들기+나무밭</t>
  </si>
  <si>
    <t>정보원/덫제작자/갈대 지대</t>
  </si>
  <si>
    <t>지역 관리자ㅣ</t>
  </si>
  <si>
    <t>교습 4번</t>
  </si>
  <si>
    <t>정보원/갈대 지대</t>
  </si>
  <si>
    <t>교습 3번</t>
  </si>
  <si>
    <t>선잡</t>
  </si>
  <si>
    <t>숙제</t>
  </si>
  <si>
    <t>나무/갈대 모아서 방 더 짓기</t>
  </si>
  <si>
    <t>나무밭(씨뿌리기)</t>
  </si>
  <si>
    <t>나무밭(씨뿌리기+곡식+채소)</t>
  </si>
  <si>
    <t>화로만들기</t>
  </si>
  <si>
    <t>화로 만들기</t>
  </si>
  <si>
    <t>나무 모으기</t>
  </si>
  <si>
    <t>주요설비</t>
  </si>
  <si>
    <t>교습 1번</t>
  </si>
  <si>
    <t>집개조하면서 화덕</t>
  </si>
  <si>
    <t>음식액션</t>
  </si>
  <si>
    <t xml:space="preserve">다방 돌집 </t>
  </si>
  <si>
    <t>나무골조 집 6돌집 테크</t>
  </si>
  <si>
    <t>[다방] 나무골조 집 6돌집 테크</t>
  </si>
  <si>
    <t>[다방] 나무골조 집 6돌집 테크
음식은 덫제작자+화덕</t>
  </si>
  <si>
    <t>덫 제작자/정보원</t>
  </si>
  <si>
    <t>덫 제작자/정보원/벌목꾼/건축가</t>
  </si>
  <si>
    <t>갈대 지대/나무밭/숲쟁기/우물/화덕/나무골조 집</t>
  </si>
  <si>
    <r>
      <t>갈대 지대/나무밭/숲쟁기/</t>
    </r>
    <r>
      <rPr>
        <b/>
        <sz val="11"/>
        <color theme="1"/>
        <rFont val="맑은 고딕"/>
      </rPr>
      <t>우물</t>
    </r>
    <r>
      <rPr>
        <sz val="11"/>
        <color theme="1"/>
        <rFont val="맑은 고딕"/>
      </rPr>
      <t>/</t>
    </r>
    <r>
      <rPr>
        <b/>
        <sz val="11"/>
        <color theme="1"/>
        <rFont val="맑은 고딕"/>
      </rPr>
      <t>화덕</t>
    </r>
    <r>
      <rPr>
        <sz val="11"/>
        <color theme="1"/>
        <rFont val="맑은 고딕"/>
      </rPr>
      <t>/나무골조 집</t>
    </r>
  </si>
  <si>
    <t>흙을 워낙에 다른 사람들이 퍼먹어대서 화덕이 많이 늦어져서 힘들었다. 다만 그래도 끝까지 집중력 안 읽고 플레이한 것은 좋았던 것 같다. 아콜은 좋은 카드 몇 장보다도 괜찮은 카드 끼리의 유기적인 드래프트가 중요한 게임이라 생각한다</t>
  </si>
  <si>
    <t>4/</t>
  </si>
  <si>
    <t>4/6장</t>
  </si>
  <si>
    <t>작살꾼 교습</t>
  </si>
  <si>
    <t>실 잣는 사람 교습</t>
  </si>
  <si>
    <t>목수의 객실로 방 2개 늘리기</t>
  </si>
  <si>
    <t>곡식밭 만들고 침실</t>
  </si>
  <si>
    <t>골조  건축업자</t>
  </si>
  <si>
    <t xml:space="preserve">                    </t>
  </si>
  <si>
    <t>집고치면서 착유실</t>
  </si>
  <si>
    <t>1소? 가능해?</t>
  </si>
  <si>
    <t>음식 6개</t>
  </si>
  <si>
    <t>12월 19일</t>
  </si>
  <si>
    <t>[다방] 목수객실/작살꾼/침실
다방 깡패 콤보</t>
  </si>
  <si>
    <t>작살꾼/실 잣는 사람/항구 중개인</t>
  </si>
  <si>
    <t>목수의 객실/침실/도리깨/짚지붕/수렵 기념물</t>
  </si>
  <si>
    <t>목수의 객실/침실/도리깨/흙가마/짚지붕/수렵 기념물</t>
  </si>
  <si>
    <r>
      <t>목수의 객실/침실/도리깨/</t>
    </r>
    <r>
      <rPr>
        <b/>
        <sz val="11"/>
        <color theme="1"/>
        <rFont val="맑은 고딕"/>
      </rPr>
      <t>흙가마</t>
    </r>
    <r>
      <rPr>
        <sz val="11"/>
        <color theme="1"/>
        <rFont val="맑은 고딕"/>
      </rPr>
      <t>/짚지붕/수렵 기념물</t>
    </r>
  </si>
  <si>
    <t>카드가 너무 잘 나와서 할말이없다. 좀 더 침착하게 플레이하길</t>
  </si>
  <si>
    <t>카드가 너무 잘 나와서 할말이없다. 좀 더 침착하게 플레이하길
밭 이상하게 깔지마라 다방할때는 걍 위에 깔아버려</t>
  </si>
  <si>
    <t>가로로 자른 나무</t>
  </si>
  <si>
    <t>마차 여행</t>
  </si>
  <si>
    <t>거대 농장</t>
  </si>
  <si>
    <t>포장마차</t>
  </si>
  <si>
    <t>22. 12. 20. BGA PWR ELO &gt; 200 직업/보조설비 분석 (3)</t>
  </si>
  <si>
    <t>22. 12. 21. BGA PWR ELO &gt; 200 직업 분석 (4)</t>
  </si>
  <si>
    <t>성장하는 농작</t>
  </si>
  <si>
    <t>소방용 호ㅓ수</t>
  </si>
  <si>
    <t>음식 바구니ㅏ</t>
  </si>
  <si>
    <t>외양간ㄱ</t>
  </si>
  <si>
    <t>대규모 경작 놈부</t>
  </si>
  <si>
    <t>나무 베는  사람</t>
  </si>
  <si>
    <t>직업은 제빵사 까지만</t>
  </si>
  <si>
    <t>선잡기 (흙 비축)</t>
  </si>
  <si>
    <t>교습 (제빵사)</t>
  </si>
  <si>
    <t>흙 누적캌ㄴ</t>
  </si>
  <si>
    <t>흙 누적칸</t>
  </si>
  <si>
    <t>3흙 1갈대\</t>
  </si>
  <si>
    <t>5흙 2갈대</t>
  </si>
  <si>
    <t>6흙 1갈대 1돌</t>
  </si>
  <si>
    <t>6흙 1갈대 3음식</t>
  </si>
  <si>
    <t>여관</t>
  </si>
  <si>
    <t>농지 1순위</t>
  </si>
  <si>
    <t>숲속여관</t>
  </si>
  <si>
    <t>선잡으면서 병</t>
  </si>
  <si>
    <t>교습(2점)</t>
  </si>
  <si>
    <t>외양간 (4점)</t>
  </si>
  <si>
    <t>양(</t>
  </si>
  <si>
    <t>흙칸(최소 1점)</t>
  </si>
  <si>
    <t>흙칸</t>
  </si>
  <si>
    <t>병(설비)</t>
  </si>
  <si>
    <t>집고치기 (3점)</t>
  </si>
  <si>
    <t>병(4점)</t>
  </si>
  <si>
    <t>방만들기 (4점)</t>
  </si>
  <si>
    <t>흙칸 (2점)</t>
  </si>
  <si>
    <t>소(2점)</t>
  </si>
  <si>
    <t>농지 (2점)</t>
  </si>
  <si>
    <t>갈대 확보</t>
  </si>
  <si>
    <t>12월 22일</t>
  </si>
  <si>
    <t>[3방]</t>
  </si>
  <si>
    <t>[3방] 도기+흙비축 기반
제빵사돌가마 음식엔진</t>
  </si>
  <si>
    <t>[3방] 도기+흙비축 기반
제빵사&amp;돌가마 음식엔진</t>
  </si>
  <si>
    <t>숲 속여관 카드가 좀 별로인것같다... 다른 건 모르겠는데 내 바로 뒷사람이 1등이고 여유로운 편이라서 억까 당한 느낌이 없지 않아 있다</t>
  </si>
  <si>
    <t>창고 관리인/제빵사</t>
  </si>
  <si>
    <t>숲속 여관/도기/흙 비축</t>
  </si>
  <si>
    <t>숲 속여관 카드가 좀 별로인것같다... 다른 건 모르겠는데 내 바로 뒷사람이 1등이고 여유로운 편이라서 억까 당한 느낌이 없지 않아 있다. 흙비축과 도기가 빨리 나왔고 흙가마를 일찍 시작했다면 왠지 엄청 강력했을 것 같긴 하다</t>
  </si>
  <si>
    <t>숲속 여관/도기/돌가마/흙 비축/그릇 제작소</t>
  </si>
  <si>
    <r>
      <t>숲속 여관/도기/</t>
    </r>
    <r>
      <rPr>
        <b/>
        <sz val="11"/>
        <color theme="1"/>
        <rFont val="맑은 고딕"/>
      </rPr>
      <t>돌가마</t>
    </r>
    <r>
      <rPr>
        <sz val="11"/>
        <color theme="1"/>
        <rFont val="맑은 고딕"/>
      </rPr>
      <t>/흙 비축/</t>
    </r>
    <r>
      <rPr>
        <b/>
        <sz val="11"/>
        <color theme="1"/>
        <rFont val="맑은 고딕"/>
      </rPr>
      <t>그릇 제작소</t>
    </r>
  </si>
  <si>
    <t>숲 속여관 카드가 좀 별로인것같다... 다른 건 모르겠는데 내 바로 뒷사람이 1등이고 여유로운 편이라서 억까 당한 느낌이 없지 않아 있다. 흙비축과 도기가 빨리 나왔고 흙가마를 일찍 시작했다면 왠지 엄청 강력했을 것 같긴 하다. 그릇제작소도 결국 안 쓰는게 더 좋았을것 같음</t>
  </si>
  <si>
    <t>4/3장</t>
  </si>
  <si>
    <t>숲 속 여관 카드가 좀 별로인것같다... 다른 건 모르겠는데 내 바로 뒷사람이 1등이고 여유로운 편이라서 억까 당한 느낌이 없지 않아 있다. 흙비축과 도기가 빨리 나왔고 흙가마를 일찍 시작했다면 왠지 엄청 강력했을 것 같긴 하다. 그릇제작소도 결국 안 쓰는게 더 좋았을것 같음</t>
  </si>
  <si>
    <t>숲 속 여관 카드가 좀 별로인것같다... 다른 건 모르겠는데 내 바로 뒷사람이 1등이고 여유로운 편이라서 억까 당한 느낌이 없지 않아 있다. 흙비축과 도기가 빨리 나왔고 흙가마를 일찍 시작했다면 왠지 엄청 강력했을 것 같긴 하다. 그릇제작소도 결국 안 쓰는게 더 좋았을것 같음
초반 4장으로 콤보가 완성되어야 함. 그 4장으로 연계성이 떨어지면 겜 상위권 노리기 힘들다</t>
  </si>
  <si>
    <t>음식 설비 만들기</t>
  </si>
  <si>
    <t>울타리/밭 만들기</t>
  </si>
  <si>
    <t>22. 12. 23. BGA PWR ELO &gt; 200 직업 분석 (5)</t>
  </si>
  <si>
    <t>한글 이름</t>
  </si>
  <si>
    <t>구걸하는 학생</t>
  </si>
  <si>
    <t>상업 교사</t>
  </si>
  <si>
    <t>허풍선이</t>
  </si>
  <si>
    <t xml:space="preserve"> PWR</t>
  </si>
  <si>
    <t xml:space="preserve"> ADP</t>
  </si>
  <si>
    <t>APR</t>
  </si>
  <si>
    <t>NaN</t>
  </si>
  <si>
    <t>Deals</t>
  </si>
  <si>
    <t>Drafted</t>
  </si>
  <si>
    <t>Plays</t>
  </si>
  <si>
    <t>WinHand</t>
  </si>
  <si>
    <t>WinPlay</t>
  </si>
  <si>
    <t>WtdPWR</t>
  </si>
  <si>
    <t>Elo/Play</t>
  </si>
  <si>
    <t>wtd PWR티어</t>
  </si>
  <si>
    <t>wtdPWR</t>
  </si>
  <si>
    <t>wtdPWR 티어</t>
  </si>
  <si>
    <t>WtdPWR 티어</t>
  </si>
  <si>
    <t>없음</t>
  </si>
  <si>
    <t>PWR</t>
  </si>
  <si>
    <t>루민 티어</t>
  </si>
  <si>
    <t>조건</t>
  </si>
  <si>
    <t>성장하는 농자</t>
  </si>
  <si>
    <t>PWR 티어</t>
  </si>
  <si>
    <t>음식 엔진</t>
  </si>
  <si>
    <t>울타리/밭</t>
  </si>
  <si>
    <t>9순위</t>
  </si>
  <si>
    <t>10순위</t>
  </si>
  <si>
    <t>11순위</t>
  </si>
  <si>
    <t>12순위</t>
  </si>
  <si>
    <t>보너스</t>
  </si>
  <si>
    <t>ㅜㅐ.</t>
  </si>
  <si>
    <t>No.</t>
  </si>
  <si>
    <t>22. 12. 25. BGA PWR ELO &gt; 200 직업 분석 (6)</t>
  </si>
  <si>
    <t>22. 12. 25. BGA PWR ELO &gt; 200 티어리스트 적용(6)</t>
  </si>
  <si>
    <t>확보</t>
  </si>
  <si>
    <t>22. 12. 25. BGA PWR ELO &gt; 200 티어리스트 적용(7)</t>
  </si>
  <si>
    <t>바람둘이</t>
  </si>
  <si>
    <t>자원 재활용 업자</t>
  </si>
  <si>
    <t>나무 전무가</t>
  </si>
  <si>
    <t>`1</t>
  </si>
  <si>
    <t>0순위</t>
  </si>
  <si>
    <t>가늘 관련 교습/설비</t>
  </si>
  <si>
    <t>집고치고 우물</t>
  </si>
  <si>
    <t>12월 27일</t>
  </si>
  <si>
    <t>[4방]</t>
  </si>
  <si>
    <t>[4방] 가구상/나무 전문가
+ 항구중개인 끌그물 보트 콤보</t>
  </si>
  <si>
    <t>가구상/항구 중개인/나무 전문가</t>
  </si>
  <si>
    <t>끌그물 보트/채칼/닭장/버터 제조기/밭 울타리/흙가마</t>
  </si>
  <si>
    <r>
      <t>끌그물 보트/채칼/닭장/버터 제조기/밭 울타리/</t>
    </r>
    <r>
      <rPr>
        <b/>
        <sz val="11"/>
        <color theme="1"/>
        <rFont val="맑은 고딕"/>
      </rPr>
      <t>흙가마</t>
    </r>
  </si>
  <si>
    <t>흙가마를 너무 늦게 내렸고, 채칼은 풀 점수 될때까지는 절대 쓰면 안 되었다 그냥 무난하게 했으면 충분히 이길 판이었는데 너무 아쉽고 후반부 선을 내가 꼭 잡았어야 한다</t>
  </si>
  <si>
    <t>5/9장</t>
  </si>
  <si>
    <t>5/4장</t>
  </si>
  <si>
    <t>곡식 창고</t>
  </si>
  <si>
    <t>사육 울타리</t>
  </si>
  <si>
    <t>사육울타리</t>
  </si>
  <si>
    <t>23. 1. 1 CD Minor Improvement Raking 강의</t>
  </si>
  <si>
    <t>은둔농부</t>
  </si>
  <si>
    <t>장작 때는 사람</t>
  </si>
  <si>
    <t>가</t>
  </si>
  <si>
    <t>나무 수집가</t>
  </si>
  <si>
    <t>나무전문가</t>
  </si>
  <si>
    <t>주사위 제작ㅈ자</t>
  </si>
  <si>
    <t>교육수당</t>
  </si>
  <si>
    <t>가정 교사</t>
  </si>
  <si>
    <t>(교습) 나무농장 일꾼</t>
  </si>
  <si>
    <t>바</t>
  </si>
  <si>
    <t>(보조) 양조장 연못</t>
  </si>
  <si>
    <t>(보조) 바퀴 달린 쟁기</t>
  </si>
  <si>
    <t>(보조) 교육 수당</t>
  </si>
  <si>
    <t>(교습) 공예 후원자</t>
  </si>
  <si>
    <t>(주요) 흙가마</t>
  </si>
  <si>
    <t>(보조) 빵삽</t>
  </si>
  <si>
    <t>(교습) 장작 채집자</t>
  </si>
  <si>
    <t>시간 남을때마다 설비털기</t>
  </si>
  <si>
    <t>(보조) 틀톱</t>
  </si>
  <si>
    <t>낚시 항상 마지막에</t>
  </si>
  <si>
    <t>13개 때 울타리</t>
  </si>
  <si>
    <t>장작 채집자(교습)</t>
  </si>
  <si>
    <t>집고치기/곡식/가축</t>
  </si>
  <si>
    <t>선잡기 (틀톱)</t>
  </si>
  <si>
    <t>(교습) 사냥꾼</t>
  </si>
  <si>
    <t>(교습) 돼지 소유주</t>
  </si>
  <si>
    <t>1돼지 (2번)</t>
  </si>
  <si>
    <t>교습 (공예 후원자)</t>
  </si>
  <si>
    <t>교습(사냥꾼</t>
  </si>
  <si>
    <t>집개조</t>
  </si>
  <si>
    <t>채소 5개</t>
  </si>
  <si>
    <t>곡식 6개</t>
  </si>
  <si>
    <t>1점</t>
  </si>
  <si>
    <t>음식 1개</t>
  </si>
  <si>
    <t>9개 음식 필요</t>
  </si>
  <si>
    <t>음식행동</t>
  </si>
  <si>
    <t>3개확보가능 -1점</t>
  </si>
  <si>
    <t>1월 5일</t>
  </si>
  <si>
    <t>[3방] 가정교사+교육수당
교습테크</t>
  </si>
  <si>
    <r>
      <rPr>
        <b/>
        <sz val="11"/>
        <color theme="1"/>
        <rFont val="맑은 고딕"/>
      </rPr>
      <t>[3방] 가정교사+교육수당
교습테크</t>
    </r>
  </si>
  <si>
    <t>ㄱ</t>
  </si>
  <si>
    <t>가정교사/나무농장 일꾼/장작 채집자/돼지 소유주/공예 후원자/사냥꾼</t>
  </si>
  <si>
    <t>양조장 연못/바퀴 달린 쟁기/흙가마/교육 수당/빵삽/돌가마/우물</t>
  </si>
  <si>
    <r>
      <t>양조장 연못/바퀴 달린 쟁기/흙</t>
    </r>
    <r>
      <rPr>
        <b/>
        <sz val="11"/>
        <color theme="1"/>
        <rFont val="맑은 고딕"/>
      </rPr>
      <t>가마</t>
    </r>
    <r>
      <rPr>
        <sz val="11"/>
        <color theme="1"/>
        <rFont val="맑은 고딕"/>
      </rPr>
      <t>/교육 수당/빵삽/</t>
    </r>
    <r>
      <rPr>
        <b/>
        <sz val="11"/>
        <color theme="1"/>
        <rFont val="맑은 고딕"/>
      </rPr>
      <t>돌가마</t>
    </r>
    <r>
      <rPr>
        <sz val="11"/>
        <color theme="1"/>
        <rFont val="맑은 고딕"/>
      </rPr>
      <t>/</t>
    </r>
    <r>
      <rPr>
        <b/>
        <sz val="11"/>
        <color theme="1"/>
        <rFont val="맑은 고딕"/>
      </rPr>
      <t>우물</t>
    </r>
  </si>
  <si>
    <t>6/7장</t>
  </si>
  <si>
    <t>[4방][낚시]가구상/나무 전문가
+ 항구중개인 끌그물 보트 
낚시콤보</t>
  </si>
  <si>
    <t>[3방][교습]가정교사+교육수당</t>
  </si>
  <si>
    <r>
      <rPr>
        <b/>
        <sz val="11"/>
        <color theme="1"/>
        <rFont val="맑은 고딕"/>
      </rPr>
      <t>[3방][교습]가정교사+교육수당</t>
    </r>
  </si>
  <si>
    <t xml:space="preserve">[4방][낚시]가구상/나무 전문가
+ 항구중개인 끌그물 보트 </t>
  </si>
  <si>
    <t>1) 0순위부터 4순위 까지 순서를 잘 지켰음
2) 미리 카드를 쓸 순서를 잘 지정해 정리하는게 좋았음
3) 마지막까지 어떤 행동 해야하는지 잘 계산해서 돼지소유주 성공</t>
  </si>
  <si>
    <t>1) 0순위부터 4순위 까지 순서를 잘 지켰음
2) 미리 카드를 쓸 순서를 잘 지정해 정리하는게 좋았음
3) 마지막까지 어떤 행동 해야하는지 잘 계산해서 돼지소유주 성공
울타리 행동하는거 미루지 말 것. 그리고 자원 들어오는 카드 항상 생각하면서 플레이할 것</t>
  </si>
  <si>
    <t>23. 1. 6 Part 7B강의</t>
  </si>
  <si>
    <t>집사(c)</t>
  </si>
  <si>
    <t>집사(b)</t>
  </si>
  <si>
    <t>짒가</t>
  </si>
  <si>
    <t>가축 시장</t>
  </si>
  <si>
    <t>가축시장</t>
  </si>
  <si>
    <t>밭일 감ㄷ고</t>
  </si>
  <si>
    <t>장작 모으는 사람</t>
  </si>
  <si>
    <t>가구 만드는 사람</t>
  </si>
  <si>
    <t>가구업자</t>
  </si>
  <si>
    <t>종모양 등불</t>
  </si>
  <si>
    <t>삼포식 농버</t>
  </si>
  <si>
    <t>ㄷㅎ가</t>
  </si>
  <si>
    <t>23. 1. 8 재완이 아콜 드랩 분석 + 샘 강의 30분</t>
  </si>
  <si>
    <t>23. 1. 8 재완이 아콜 드랩 분석 +  Part8 30분</t>
  </si>
  <si>
    <t>- 점수를 계산할 때, 자기 앞에 놓여있는 설비가 5/6/7/8/9/10개 이상이라면 2/3/4/5/7/9점의 추가 점수를 받습니다</t>
  </si>
  <si>
    <t>- 즉시 개인 창고에 있는 돌의 개수만큼 나무를 가져옵니다</t>
  </si>
  <si>
    <t>- 행동 칸을 사용할 때마다, 그 직후에 건축 자원이 4개 이상 올려진 건축 자원 누적 행동 칸에서 건축 자원 1개를 가져올 수 있습니다.</t>
  </si>
  <si>
    <t>- 이 카드는 가족 구성원 1명을 위한 방을 제공합니다</t>
  </si>
  <si>
    <t>- 이 카드를 내려놓으면 즉시 남은 라운드당 추가점수 1점씩을 받고 음식 2개씩을 가져옵니다.</t>
  </si>
  <si>
    <t>점수/음식</t>
  </si>
  <si>
    <t>3나무 3음식</t>
  </si>
  <si>
    <t>[모든 농장 칸이 사용되면] 없음</t>
  </si>
  <si>
    <t>- 일하기 단계에서 이 카드를 사용했다면, 즉시 당신의 또다른 가족말을 놓을 수 있습니다</t>
  </si>
  <si>
    <t>[아직 놓지 않은 가족 1명]</t>
  </si>
  <si>
    <t>- 이 카드를 내려놓을 때, 즉시 구걸 마커 1개를 받습니다. 매번 수확이 시작될 때마다, 비용을 내지 않고 직업 1개를 내려놓을 수 있습니다</t>
  </si>
  <si>
    <t>원판 이름</t>
  </si>
  <si>
    <t>공식 이름</t>
  </si>
  <si>
    <t>이름
(공식 Ver.)</t>
  </si>
  <si>
    <t>1. 금지카드 추가 (O)</t>
  </si>
  <si>
    <t>3. 파일 편집</t>
  </si>
  <si>
    <t>3. 중복 카드(채칼, 집사, 작은 우리 등)</t>
  </si>
  <si>
    <t>4. 당구장 참조 지우기</t>
  </si>
  <si>
    <t>5. 미발매된 C&amp;D덱 내용 포함</t>
  </si>
  <si>
    <t>6. 티어 비중 적어주기</t>
  </si>
  <si>
    <t>7. 보드게임 아레나카드 포함된거 설명</t>
  </si>
  <si>
    <t>보드게임 아레나 Ver.</t>
  </si>
  <si>
    <t>코리아보드게임즈(공식)  Ver.</t>
  </si>
  <si>
    <t>VLOOKUP(시뮬레이터!$I$3,보조설비분석!$C$2:$G$354,1,FALSE)</t>
  </si>
  <si>
    <t>술집 주인(a)</t>
  </si>
  <si>
    <t>=IF(IFERROR(VLOOKUP(시뮬레이터!$I13,직업분석!$C$2:$G$354,1,FALSE),0)=0,VLOOKUP(시뮬레이터!$I13,직업분석!$B$2:$G$354,4,FALSE),VLOOKUP(시뮬레이터!$I13,직업분석!$C$2:$G$354,3,FALSE))</t>
  </si>
  <si>
    <t>정</t>
  </si>
  <si>
    <t>화덕(6흙)</t>
  </si>
  <si>
    <t>화로(4흙)</t>
  </si>
  <si>
    <t>보드게임 아레나  Ver.</t>
  </si>
  <si>
    <t>- 이 카드를 내려놓으면, 즉시 나무 1개를 가져옵니다. 일하기 단계가 끝날때마다, 개인 창고에 흙보다 돌이 더 많다면 나무 1개를 가져옵니다</t>
  </si>
  <si>
    <t>- 이 카드를 내려놓을 때 즉시, 아직 시작하지 않은 라운드 수만큼의 음식을 내고 '빈 방이 없어도 가족 늘리기' 행동을 할 수 있습니다</t>
  </si>
  <si>
    <t>- 이 카드는 나만 이용할 수 있는 행동 칸입니다. 이 카드를 1/2/3/4번째로 이용했을 때, 구걸 토큰 1개와 서로 다른 자원 6/7/8/9개를 가져옵니다.</t>
  </si>
  <si>
    <t xml:space="preserve">- 점수를 계산할 때, 각각의 점수 계산 항목마다 최고 점수인 4점을 받았다면 추가점수 1점씩을 받습니다. (울타리 친 외양간으로 4점을 받아도 추가점수 1점을 받습니다) </t>
  </si>
  <si>
    <t>- 아무 때나, 가족 구성원을 놓지 않고도 '외양간 짓기' 행동을 할 수 있습니다. 이렇게 짓는 외양간은 비용으로 나무 1개와 음식 1개를 냅니다</t>
  </si>
  <si>
    <t>- 5라운드 또는 그 이후에 이 카드를 내려놓았다면, 즉시 돌 1개, 곡식 1개, 채소 1개, 양 1개를 내고 '빈 방이 없어도 가족 늘리기' 행동을 할 수 있습니다</t>
  </si>
  <si>
    <t>- 매 라운드의 집에 돌아오기 단계에서, 흙이 있다면 흙을 모두 버리고 음식 3개나 추가 1점을 받을 수 있습니다</t>
  </si>
  <si>
    <t>- 이 카드를 내려놓을 때, 아직 시작하지 않은 수확 횟수만큼의 음식을 내고, 즉시 소 1마리와 멧돼지 1마리를 가져옵니다</t>
  </si>
  <si>
    <t>- '날품팔이' 행동 칸을 이용할 때마다, 음식 2개 대신에 서로 다른 종류의 가축 3마리를 가져올 수 있습니다. 그렇게 한다면, 남아있는 수확횟수만큼의 음식을 내야 합니다</t>
  </si>
  <si>
    <t>- 이 카드를 내려놓은 후에 딱 한 번, 다른 플레이어가 다섯 번째 가족 구성원을 얻으면, 당신은 즉시 음식 8개를 가져옵니다. 점수를 계산할 때, 당신만 가족 구성원이 5명이라면, 추가점수 3점을 받습니다</t>
  </si>
  <si>
    <t>- 이 카드를 내려놓으면 즉시 음식 1개를 내고 방 수만큼 돌 1개씩을 가져올 수 있습니다</t>
  </si>
  <si>
    <t>- '날품팔이' 이용 시, 비용 내고 방 1개 만들거나 집 고치기</t>
  </si>
  <si>
    <t xml:space="preserve">- '주요 설비' 행동 칸을 이용한 후에, 흙 2개나 돌 2개를 적게 내고 '집 고치기' 행동을 할 수 있습니다 </t>
  </si>
  <si>
    <t>- 점수를 계산할 때, 가축이 1마리라도 들어 있는 우리 중 우리 안에 가축을 3마리 이상 더 키울 수 있는 우리 1개당 추가점수 1점씩을 받습니다</t>
  </si>
  <si>
    <t>- 다른 플레이어가 집을 고칠 때마다 1번씩, 나무 2개를 내고 곡식 1개, 음식 1개, 추가 1점을 받을 수 있습니다.</t>
  </si>
  <si>
    <t>- 점수를 계산할 때, 주요 설비의 총 점수를 확인합니다. 이 때 가장 낮은 주요 설비 점수는 2배로 계산합니다. 합계가 5/7/9/11점 이상이면 추가점수 1/2/3/4점을 받습니다</t>
  </si>
  <si>
    <t>- 매 라운드 집에 돌아오기 단계마다, '교습' 행동 칸에서 그 누구의 가족 말도 돌아오지 않았다면, 음식 1개를 내고 직업 카드 1장을 내려놓을 수 있습니다</t>
  </si>
  <si>
    <t>- 이 카드를 내려놓으면 다음 수확 단계를 건너뜁니다. (가족 먹여살리기도 건너뜁니다)</t>
  </si>
  <si>
    <t>- 이 카드를 내려놓으면 즉시 음식 3개를 가져옵니다. 수확 중 농장 단계에서 수확한 채소마다 음식 1개씩을 추가로 가져옵니다.</t>
  </si>
  <si>
    <t xml:space="preserve">- 매 라운드가 시작될 때 '낚시' 누적 칸 보다 '유랑극단' 누적 칸에 음식이 더 많다면, 두 누적 칸의 음식 개수 차이만큼 공동 창고에서 음식을 가져옵니다 </t>
  </si>
  <si>
    <t>- 이 카드를 내려놓을 때, 주요 설비를 1/2/3/4개 가지고 있다면, 즉시 갈대 2/3/4/5개를 가져옵니다</t>
  </si>
  <si>
    <t>- 다른 플레이어가 돌집으로 집을 고칠 때마다, 당신이 흙집에 살고 있다면, 음식 2개를 내고 비용 없이 흙집 방 1개를 만들 수 있습니다</t>
  </si>
  <si>
    <t>- 이 카드를 내려놓으면 즉시 곡식 1개를 가져옵니다. 수확 중 농장 단계에서 곡식밭마다 곡식 1개를 추가로 수확할 수 있습니다.</t>
  </si>
  <si>
    <t xml:space="preserve">- 매 라운드를 시작할 때마다 한 번씩, 다음 중 하나의 물건을 바꿀 수 있습니다.
1소↔1채소 / 2양↔1채소 / 2음식↔1곡식 </t>
  </si>
  <si>
    <t>- 나무집/흙집에 방을 만들 때마다, 새로 만든 방 1개당 흙/돌 2개씩을 가져옵니다</t>
  </si>
  <si>
    <t>- 일하기 단계가 시작될 때마다, 방이 정확히 2개인 흙/돌집에서 살고 있다면 흙/돌 2개를 가져옵니다.</t>
  </si>
  <si>
    <t>- 이 카드를 내려놓으면 즉시 돌 1개를 가져옵니다. 앞으로 주요 설비판의 아랫줄에 있는 주요 설비를 '보조 설비 내리기' 행동으로 지을 수 있습니다</t>
  </si>
  <si>
    <t>- 이 카드를 내려놓을 때, 즉시 나무 1개를 가져옵니다. 매 수확의 농장 단계에서 한 번씩, 이 카드를 이용하여 나무 1개와 음식 1개를 추가점수 1점으로 바꿀 수 있습니다</t>
  </si>
  <si>
    <t>- 점수를 계산할 때, (가마솥 마크) 설비마다 추가점수 1점을 받습니다.</t>
  </si>
  <si>
    <t>- 아무 플레이어(이 카드를 낸 플레이어 포함)나 누적 칸에서 한 번에 물건을 5/6/7/8개 이상 가져갈 때마다, 당신은 공동 창고에서 나무/흙/갈대/돌 1개를 가져옵니다</t>
  </si>
  <si>
    <t>- 가장 최근의 수확이 있기 전에 마지막으로 공개된 행동 칸(4, 7, 9, 11, 13라운드의 행동 칸 카드 중 마지막으로 공개된 카드)을 이용할 때, 곡식 1개를 가져옵니다</t>
  </si>
  <si>
    <t>- 방을 만들 때마다, 나무 1개와 곡식 1개를 추가로 내고 즉시 '빈 방이 있어야만 가족 늘리기' 행동을 1번할 수 있습니다</t>
  </si>
  <si>
    <t>- 매 라운드를 시작하기 전에, 다른 플레이어들보다 더 많이 갖고 있는 건축 자원이 적어도 2종류라면, 음식 1개를 가져옵니다</t>
  </si>
  <si>
    <t>- 외양간이 없는 우리에 가축을 1마리씩 더 키울 수 있습니다. 밭에 씨를 뿌릴 때마다, 그 밭에 해당 작물을 추가로 1개 더 놓을 수 있습니다.</t>
  </si>
  <si>
    <t>- (이 카드를 포함해서) 당신 앞에 놓여있는 직업 카드가 6장 이상이 되면, 이 카드는 가족 구성원 1명을 위한 방을 제공합니다. 드래프트 선택 규칙을 사용 중이면, 직업 카드가 7장 이상이 되어야 합니다.</t>
  </si>
  <si>
    <t>- 일하기 단계의 당신의 차례마다, 5개 이상의 물건이 놓여 있는 누적 칸이 있고, 당신이 그 누적 칸들을 이용하지 않았다면, 채소 1개를 가져옵니다</t>
  </si>
  <si>
    <t>- 점수 계산을 시작할 때, 당신의 빈 밭에 음식을 놓을 수 있습니다. 이렇게 음식 1/4/7개를 놓은 받마다 추가점수 1/2/3점을 받습니다</t>
  </si>
  <si>
    <t>- 이 카드를 내려놓으면 즉시 흙 1개를 가져옵니다. 울타리를 칠 때 나무대신 흙을 낼 수 있습니다.</t>
  </si>
  <si>
    <t>- [직업 2개] 수확 중 농장 단계에서, 소를 1/3/5마리 이상 갖고 있다면 
음식 1/2/3개를 가져옵니다. 점수를 계산할 때, 소 2마리당 추가 1점씩을 받습니다.</t>
  </si>
  <si>
    <t>- [설비 2개] 1/2/3/4/5/6번째 직업을 내려놓을 때 즉시 곡식/흙/갈대/돌/채소/밭 1개를 가져옵니다 (이미 내려놓은 직업에 대한 혜택은 받지 않습니다)</t>
  </si>
  <si>
    <t>- [직업 2개] 수확 중 농장 단계에서, 양 1/4/7마리를 가지고 있으면 음식 1/2/3개를 가져옵니다. 점수를 계산할 때, 양 3마리당 추가점수 1점씩을 받습니다</t>
  </si>
  <si>
    <t>- [직업 1개와 밭 2개] 남은 라운드 칸에, 흙부터 시작하여 흙 1개와 멧돼지 1마리를 번갈아 놓습니다. 해당 라운드가 시작될 때마다 해당되는 물건을 가져옵니다</t>
  </si>
  <si>
    <t>- 이 카드를 놓을 때, 즉시 흙 1개를 가져옵니다. 자신을 포함한 누군가가 '돼지 시장' 누적 행동 칸을 이용할 때마다, 즉시 흙 2개를 가져옵니다</t>
  </si>
  <si>
    <t xml:space="preserve">- [8라운드까지만 사용 가능] 8, 10, 12라운드가 끝날 때, 채소밭마다 
 돌 1개씩을, 개인 창고에 있는 채소마다 나무 1개씩을 가져옵니다.
</t>
  </si>
  <si>
    <t>- [8라운드까지만 사용 가능] 8, 10, 12라운드가 끝날 때, 채소밭마다 
 돌 1개씩을, 개인 창고에 있는 채소마다 나무 1개씩을 가져옵니다.</t>
  </si>
  <si>
    <t xml:space="preserve">- 즉시 내 집의 방 1개당 나무 1개씩을 가져옵니다. 만약 가족 말보다 방 개수가 더 많다면, 나무 1개를 추가로 가져옵니다 (사용 시 왼쪽 플레이어에게 전달) </t>
  </si>
  <si>
    <t xml:space="preserve">- 즉시 당신 앞에 놓여 있는 직업 카드 1장당 나무 1개씩을 가져옵니다. (사용 시 왼쪽 플레이어에게 전달) </t>
  </si>
  <si>
    <t>- 즉시 음식 2개를 가져오고, 가지고 있는 주요 설비 중 주요 설비판의 아랫줄에서 가져온 주요 설비 1개마다 음식 1개씩을 추가로 가져옵니다.</t>
  </si>
  <si>
    <t>- [직업 0개] 점수를 계산할 때, 손에 남아있는 카드마다 -1점을 받습니다. 손에서 카드를 내려놓지 않고 버릴 수 없습니다. 이미 손에서 카드를 내려놓지 않고 버렸다면 이 카드를 내려놓을 수 없습니다.</t>
  </si>
  <si>
    <t>- [직업 3개 이하] 모든 설비의 비용에서 나무 1개씩을 적게냅니다</t>
  </si>
  <si>
    <t>- 점수를 계산할 때, 아무것도 심어지지 않은 밭이 2/4/5/6개 이상이라면, 추가점수 1/2/3/5점을 받습니다.</t>
  </si>
  <si>
    <t>- 이 카드 위에서 같은 종류의 가축을 3마리까지 키울 수 있습니다. (이 카드는 우리로 간주하지 않습니다)</t>
  </si>
  <si>
    <t>- [직업 1개] 매 라운드 준비 단계마다, 비어 있지 않은 '갈대밭' 누적 행동 칸에 갈대 1개가 놓이면, 음식 1개를 가져옵니다.</t>
  </si>
  <si>
    <t>- [소지한 곡식 2개] 수확 중 가족 먹여살리기 단계마다, 이 카드를 사용해 곡식 1/2/3개를 내고 음식 딱 3개와 추가점수 0/1/2점을 받을 수 있습니다</t>
  </si>
  <si>
    <t>- 이 카드를 내려놓으면 즉시 음식 2개를 가져옵니다. 조건 없는 '씨 뿌리기' 행동을 할 때마다 그 후에, 당신이 가진 외양간 개수만큼 음식을 가져옵니다</t>
  </si>
  <si>
    <t>- [직업 3개 이하] 수확 중 농장 단계에서, 양 3마리당 음식 1개씩, 소 2마리당 음식 1개씩을 가져옵니다</t>
  </si>
  <si>
    <t>- [직업 2개] 개인 창고의 나무 개수만큼의 다음 라운드 칸에 음식 1개씩을 놓습니다. 해당 라운드가 시작될 때마다 이 음식을 가져옵니다</t>
  </si>
  <si>
    <t>- 이 카드를 내려놓기 위해선 가족 구성원 1명당 흙 1개씩과 음식 1개씩을 내야합니다</t>
  </si>
  <si>
    <t>- [직업 1개] 즉시 당신의 가족 구성원 수와 같은 개수의 돌을 가져옵니다</t>
  </si>
  <si>
    <t>- 점수를 계산할 때, (개인 창고와 밭에 있는 모든 작물을 합쳐) 곡식 1개와 채소 1개로 이루어진 한 쌍마다 추가점수 0.5점씩을 받습니다. 이 카드의 점수를 합산한 후 소수점 이하는 올림합니다.</t>
  </si>
  <si>
    <t>- [직업 2개] 매 라운드 집에 돌아오기 단계마다, '낚시' 누적 행동 칸에서 자신의 가족 말이 돌아왔다면, 이번 라운드에 집에 돌아온 '신생아'마다 추가점수를 2점씩 받습니다.</t>
  </si>
  <si>
    <t>- [직업 3개 이하] 이 카드를 놓을 때, 즉시 음식 5개를 가져옵니다. 이후 '수확을 하지 않은 라운드'가 끝날 때마다 음식 1개를 내거나 구걸 토큰 1개를 가져와야 합니다.</t>
  </si>
  <si>
    <t>- 매 라운드가 시작될 때, 나무집에 살고 있다면 음식 1개를 가져옵니다</t>
  </si>
  <si>
    <t>- [직업 3개] 수확 중 농장 단계가 시작될 때, 곡식밭 1개 이상, 채소밭 1개 이상 빈 밭 1개 이상을 가지고 있다면 음식 3개를 가져옵니다</t>
  </si>
  <si>
    <t xml:space="preserve">-즉시 당신이 갖고 있는 주요 설비와 흙집 방 개수만큼 흙을 가져옵니다. (사용 시 왼쪽 플레이어에게 전달) </t>
  </si>
  <si>
    <t>- [8라운드부터 사용 가능] 나무 누적 칸을 이용할 때, 돼지가 있다면 음식 1개를 내고 추가 1점을 받을 수 있습니다.</t>
  </si>
  <si>
    <t>- 이 카드 위에서 당신의 우리 개수만큼의 가축을 키울 수 있습니다. 서로 다른 가축을 키워도 됩니다. 매 수확의 번식 단계가 끝난 후에, 이 카드에서 사용하지 않은 공간 1개마다 음식 1개씩을 가져옵니다</t>
  </si>
  <si>
    <t>- 점수를 계산할 때, 플레이어 수가 1/2/3/4명 이상이라면, 당신의 농장에 있는 7/5/4/3번째 가축마다 추가 점수 1점씩을 받습니다. (총 가축 수를 7/5/4/3으로 나눈 만큼 추가점수를 얻습니다. 소수점을 버립니다)</t>
  </si>
  <si>
    <t>- 이 카드를 내려놓으면, 즉시 음식 1개를 가져옵니다. 수확 중 농장 단계에서, 밭에서 가져온 채소 1개마다 음식 1개를 추가로 가져옵니다</t>
  </si>
  <si>
    <t>- [농장에 빈칸 4칸 이상] 이 카드를 놓을 때, 양 1/3/4마리를 가지고 있으면 즉시 음식 2/3/4개를 가져옵니다. 또한 소 1/2/3마리를 가지고 있으면 즉시 음식 2/3/4개를 가져옵니다.</t>
  </si>
  <si>
    <t>- [직업 2개] 남은 모든 짝수 라운드 칸에 돌 1개씩을 놓습니다. 해당 라운드가 시작될 때마다 이 돌을 가져옵니다.</t>
  </si>
  <si>
    <t>- [밭 타일 없음] '채석장' 누적 행동 칸을 이용할 때마다, 한 종류의 작물만이 심어진 모든 밭에 각 작물을 1개씩 추가합니다</t>
  </si>
  <si>
    <t>- 양의 수까지의 다음 라운드 칸에 음식 1개씩을 놓습니다. 해당 라운드가 시작될 때마다 이 음식을 가져옵니다</t>
  </si>
  <si>
    <t>- 수확을 하지 않는 라운드가 끝날 때, 이 카드를 이용하여 나무 1개를 음식 2개로 바꾸거나 돌 1개를 음식 4개로 바꿀 수 있습니다</t>
  </si>
  <si>
    <t>- [개인 창고에 흙 5개] 남은 모든 짝수 라운드 칸에 나무 1개씩을 놓습니다. 해당 라운드가 시작될 때마다 이 나무를 가져옵니다</t>
  </si>
  <si>
    <t>- 즉시 누적 칸에 있는 당신의 가족 구성원 수와 같은 개수의 나무를 가져옵니다.</t>
  </si>
  <si>
    <t>- 아무 때나, 흙 2/3/4개를 돌 1/2/3개로 바꿀 수 있습니다</t>
  </si>
  <si>
    <t>- 점수를 계산할 때, 자기 앞에 놓인 주요 설비 1개당 추가점수 1점을 받을 수 있습니다. 하지만 이 추가점수는 자기 농장의 빈칸 개수까지만 받을 수 있습니다</t>
  </si>
  <si>
    <t>- 채소를 1개 이상 수확할 때마다, 그 직후에 채소를 3개 갖고 있다면 채소 1개를 음식 6개로 바꿀 수 있습니다. 만약 채소를 4개 이상 갖고 있다면 반드시 위 효과를 따라야 합니다.</t>
  </si>
  <si>
    <t xml:space="preserve">- 즉시 개인 창고에 있는 흙 2개마다 흙 1개씩을 가져옵니다. (사용 시 왼쪽 플레이어에게 전달) </t>
  </si>
  <si>
    <t>- [당신의 앞에 놓은 카드 10장] 남은 라운드 칸들에, 음식 2개씩을 놓습니다. 해당 라운드가 시작될 때마다 이 음식을 가져옵니다</t>
  </si>
  <si>
    <t xml:space="preserve">- 즉시 곡식밭 1개당 음식 1개, 채소밭 1개당 곡식 1개를 가져옵니다. (사용 시 왼쪽 플레이어에게 전달) </t>
  </si>
  <si>
    <t>- [외양간 3개와 우리 3개] 이 카드를 놓을 때, 앞으로 남은 라운드 수만큼 즉시 음식을 가져옵니다. 아무 때나, 양 1마리와 돼지 1마리를 내고 소 1마리를 가져올 수 있습니다.</t>
  </si>
  <si>
    <t>- 일하기 단계가 시작될 때마다, '낚시' 누적 칸에 음식이 3개 이상 놓여있다면, 공동 창고에서 음식 1개를 가져옵니다</t>
  </si>
  <si>
    <t>- 남은 라운드 칸들에, 음식 1개씩을 놓습니다. 해당 라운드가 시작될 때마다 이 음식을 가져옵니다</t>
  </si>
  <si>
    <t>- [7라운드 이후] 흙 누적 칸을 이용할 때마다, 당신이 가진 멧돼지와 같은  개수의 음식을 가져옵니다</t>
  </si>
  <si>
    <t>- [흙집이나 돌집] 이 카드를 내려놓으면 즉시 남은 라운드당 추가점수 1점씩을 받습니다. 더 이상 집을 고칠 수 없습니다</t>
  </si>
  <si>
    <t>- 수확 중 가족 먹여살리기 단계에서 1번씩, 음식 1개를 가져옵니다. 더 이상 카드 능력을 포함한 어떤 방법으로도 집에 가축을 놓을 수 없습니다</t>
  </si>
  <si>
    <t xml:space="preserve">- 딱 1개의 물건이 심어져 있는 밭마다, 같은 종류의 물건 1개씩을 추가로 놓을 수 있습니다 (사용 시 왼쪽 플레이어에게 전달) </t>
  </si>
  <si>
    <t>- [5라운드 이후] 밭에 채소 씨를 뿌리는 행동이 끝날 때마다, (새로운 채소밭도 포함해서) 갖고 있는 채소밭 1개마다 음식 1개씩을 가져옵니다.
마다 이 음식을 가져옵니다</t>
  </si>
  <si>
    <t xml:space="preserve">- 만약 주요 설비인 우물/가구 제작소/그릇 제작/바구니 제작소를 가지고 있다면, 즉시 돌/나무/흙/갈대 1개를 가져옵니다. (사용 시 왼쪽 플레이어에게 전달) </t>
  </si>
  <si>
    <t>- [직업 2개] 라운드마다 한 번씩, 갈대 1개를 낼 수 있습니다. 그렇게 한다면, 다음 라운드 칸 4개에 음식 1개씩을 놓습니다. 해당 라운드가 시작될 때마다 이 음식을 가져옵니다</t>
  </si>
  <si>
    <t>- [우리 1개] 즉시 음식 3개를 가져오거나, 당신이 갖고 있는 양 1마리당 음식 1개씩을 가져옵니다. (사용 시 왼쪽 플레이어에게 전달)</t>
  </si>
  <si>
    <t>- 아무 플레이어(이 카드를 낸 플레이어 포함)나 누적 칸에서 돌을 3개 이상 가져가면, 당신은 돌 1개를 공동 창고에서 가져옵니다</t>
  </si>
  <si>
    <t>- [내용 참조] 이 카드는 우리가 차지하고 있는 칸의 개수가 완료한 라운드 수 이상일 때만 내려놓을 수 있습니다. 현재 라운드 수만큼 음식을 가져옵니다</t>
  </si>
  <si>
    <t>- [직업 1개] 매 라운드의 집에 돌아오기 단계에서, 당신의 개인 창고에 흙을 나무보다 많이 갖고 있다면, 음식 1개를 가져옵니다</t>
  </si>
  <si>
    <t>- 수확을 마친 다음 라운드(5, 8, 10, 12, 14)에 '빵 굽기' 행동을 할 때마다 음식 3개를 추가로 가져옵니다</t>
  </si>
  <si>
    <t xml:space="preserve">- [물건이 심어진 밭 1개] 즉시 물건이 심어진 당신의 밭의 개수만큼 흙을 가져옵니다 (사용 시 왼쪽 플레이어에게 전달) </t>
  </si>
  <si>
    <t>- 이 카드를 내려놓으면 즉시 지금까지 지은 울타리 개수를 셉니다. 그 개수만큼의 다음 라운드 칸에 음식 1개씩을 놓습니다. 해당 라운드가 시작될 때마다, 이 음식을 가져옵니다.</t>
  </si>
  <si>
    <t>- [직업 1개 이하] 매 수확마다 가족 먹여살리기 단계 직후에, 갖고 있는 음식이 없다면, 나무 1개와 흙 1개를 가져옵니다</t>
  </si>
  <si>
    <t>- [3라운드까지만 사용 가능] 앞으로 농장판에 밭 타일을 놓을 때, 놓는 밭 타일마다 음식 1개를 내야 합니다.</t>
  </si>
  <si>
    <t>- 작물을 심은 밭의 수 x 3개까지의 남은 라운드 칸에 음식 1개씩을 놓습니다. 해당 라운드가 시작될 때마다 이 음식을 가져옵니다.</t>
  </si>
  <si>
    <t>- [방 3개] 매 라운드를 시작하기 전에, 당신의 손에 직업 카드가 설비 카드보다 많다면, 음식 1개를 가져옵니다</t>
  </si>
  <si>
    <t>- [나무집에 살고 있다면] 점수를 계산할 때 당신이 돌집에 살고 있다면, 집에 인접한 사용하지 않은 농장 칸 1개마다 추가점수 2점씩을 받습니다. (여전히 사용하지 않은 빈칸으로 인한 감점을 받습니다)</t>
  </si>
  <si>
    <t>- [직업 없음] 이 카드는 모든 플레이어가 이용할 수 있는 행동 칸입니다. 이 행동 칸을 이용하는 플레이어는 즉시 음식 1개를 가져옵니다. 집에 돌아오기 단계 직전에, 해당 플레이어는 이 카드에 놓인 가족 구성원을 비어있는 행동 칸으로 옮긴 후 그 행동 칸을 이용할 수 있습니다</t>
  </si>
  <si>
    <t>- (비용으로 당신의 개인 창고에 있는 외양간 1개를 게임으로부터 제거합니다.) 매 수확의 농장 단계가 끝난 후에, 개인 창고에 있는 울타리 1개와 곡식 1개를 음식 5개로 바꿀 수 있습니다(사용한 울타리는 게임에서 제거합니다)</t>
  </si>
  <si>
    <t>- [직업 2개] 예배당은 모두가 쓸 수 있는 행동 칸입니다. 예배당을 이용하는 플레이어는 추가점수 3점을 받습니다. 다른 플레이어가 예배당을 이용할 경우 예배당 주인에게 곡식 1개를 내야 합니다</t>
  </si>
  <si>
    <t>- 점수를 계산할 때, 감점만큼의 추가 점수를 받습니다. 이 추가점수는 최대 7점까지 받을 수 있습니다</t>
  </si>
  <si>
    <t>- (화로 또는 화덕 1개 반납) 아무 때나
채소 -&gt; 음식 4개 / 양 -&gt; 음식 3개 / 소 -&gt; 음식 5개
빵굽기 -&gt; 음식 2개</t>
  </si>
  <si>
    <t>- [6라운드 이후] 라운드마다 한 번씩, 두 번째 가족 구성원을 놓지 않고 음식 1개를 대신 가져올 수 있습니다. (이 가족 구성원은 이번 라운드의 다음 차례에 다시 놓을 수 있습니다)</t>
  </si>
  <si>
    <t>- 화로 계열 설비를 이용하여 양이나 멧돼지를 음식으로 바꿀 때마다, 음식 1개를 추가로 가져옵니다</t>
  </si>
  <si>
    <t>- 2점. '빵 굽기' 행동으로 곡식 2개까지를 음식 8개로 바꿀 수 있습니다. 이 설비를 지을 때 즉시 '빵 굽기' 행동을 할 수 있습니다.</t>
  </si>
  <si>
    <t>- 2점. '빵 굽기' 행동으로 곡식 1개를 음식 5개로 바꿉니다. 이 설비를 지을 때 즉시 '빵 굽기' 행동을 할 수 있습니다.</t>
  </si>
  <si>
    <t>- 8, 10, 12라운드의 집에 돌아오기 단계마다, 채소밭 딱 1곳에서 채소 1개를 가져올 수 있습니다. 또한 이렇게 가져온 채소를 즉시 음식 3개와 추가점수 1점으로 바꿀 수 있습니다</t>
  </si>
  <si>
    <t>- 2점. '빵 굽기' 행동으로 곡식 1개를 음식 5개로 바꿉니다. 이 설비를 지을 때 즉시 '빵 굽기' 행동을 할 수 있습니다</t>
  </si>
  <si>
    <t>- [직업 3개] 점수를 계산할 때, 가지고 있는 주요 설비 중 주요 설비판의 아랫줄에서 가져온 주요 설비가 3/4/5개라면 추가점수 2/5/8점을 받습니다</t>
  </si>
  <si>
    <t>- 수확 중 농장 단계마다, 이번 수확 때 곡식을 가져온 곡식밭 1개당 음식 1개를 가져옵니다.</t>
  </si>
  <si>
    <t xml:space="preserve">- 1점. 아무 때나:
1채소 → 3음식/1돼지 → 3음식/1양 → 2음식/1소 → 4음식
'빵 굽기' 행동: 1곡식 → 3음식 </t>
  </si>
  <si>
    <t>- 2점. 수확 때마다 흙 1개를 음식 2개로 바꿀 수 있습니다. 점수 계산할 때, 흙 3/5/7개를 1/2/3점으로 한 번 바꿀 수 있습니다</t>
  </si>
  <si>
    <t>- [빵굽기 설비 1개] 수확 중 농장 단계가 끝날 때마다, 그 직후에 빵굽기 설비를 1개 사용해 곡식 딱 1개를 음식으로 바꿀 수 있습니다. '빵 굽기' 행동을 한 것으로 간주하지 않습니다</t>
  </si>
  <si>
    <t xml:space="preserve">- 1점. 아무 때나:
1채소 → 2음식/1돼지 → 2음식/1양 → 2음식/1소 → 3음식
'빵 굽기' 행동: 1곡식 → 2음식 </t>
  </si>
  <si>
    <t>- 2점. 수확 때마다 갈대 1개를 음식 2개로 바꿀 수 있습니다. 점수 계산할 때, 갈대 2/4/5개를 1/2/3점으로 한 번 바꿀 수 있습니다</t>
  </si>
  <si>
    <t>- 2점. 수확 때마다 나무 1개를 음식 2개로 바꿀 수 있습니다. 점수 계산할 때, 나무 3/5/7개를 1/2/3점으로 한 번 바꿀 수 있습니다</t>
  </si>
  <si>
    <t>보조
설비</t>
  </si>
  <si>
    <t>종류</t>
  </si>
  <si>
    <t>직업을 입력하세요</t>
  </si>
  <si>
    <t>보조설비를 입력하세요</t>
  </si>
  <si>
    <t>가축 구매인</t>
  </si>
  <si>
    <t>콩 세는 사람</t>
  </si>
  <si>
    <t>나무지붕 제작자</t>
  </si>
  <si>
    <t>나무대가리</t>
  </si>
  <si>
    <t>- 매 수확마다 번식 단계에서, 새로 태어난 새끼 가축 1마리마다 정확히 밭 1개에 씨 뿌리기를 할 수 있습니다.</t>
  </si>
  <si>
    <t>여물 심는 사람</t>
  </si>
  <si>
    <t>- 이 카드를 내려놓을 때 즉시 이 카드 위에 나무 6개를 놓습니다. (이 카드를 포함해서) 손에서 카드 1장을 내려놓을 때마다, 그 직후에 나무 1개를 이 카드에서 가져갑니다</t>
  </si>
  <si>
    <t>- 다른 플레이어가 울타리 행동 칸을 이용할 때마다 정확히 양/멧돼지/소 1마리를, 음식 1/2/2개를 내고 공동 창고에서 구매할 수 있습니다</t>
  </si>
  <si>
    <t>실내 장식가</t>
  </si>
  <si>
    <t>종 제작자</t>
  </si>
  <si>
    <t>- 매 라운드의 집에 돌아오기 단계마다, 적어도 흙이 1개 이상 있다면 이 카드를 이용하여 가진 흙을 모두 버리면서, 음식 3개를 가져오거나 추가점수 1점을 받을 수 있습니다</t>
  </si>
  <si>
    <t>과자 굽는 사람</t>
  </si>
  <si>
    <t>- 곡식 활용 행동 칸을 이용한 뒤, 음식 1개를 내고 추가 1점을 받을 수 있습니다. 낸 음식은 곡식 활용 행동 칸에 놓습니다. (다음 방문자가 얻습니다)</t>
  </si>
  <si>
    <t>처리하는 사람</t>
  </si>
  <si>
    <t>발굴하는 사람</t>
  </si>
  <si>
    <t>프리메이슨</t>
  </si>
  <si>
    <t>- 정확히 방이 2개인 흙집/ 돌집에서 살고 있는 동안, 매 일하기 단계의 시작에 흙 2개/ 돌 2개를 가져옵니다</t>
  </si>
  <si>
    <t>숙련된 집 고치는 사람</t>
  </si>
  <si>
    <t>- 이 카드를 내려놓으면 즉시 나무 1개와 흙 1개를 가져옵니다. 집을 고친 후에, 그 라운드에 놓은 가족 구성원의 수만큼 나무를 가져옵니다</t>
  </si>
  <si>
    <t>가내 양조업자</t>
  </si>
  <si>
    <t>- 매 수확마다 농장 단계가 끝난 후에, 이 카드를 이용하여 정확히 곡식 1개를 음식 3개나 추가점수 1점으로 바꿀 수 있습니다</t>
  </si>
  <si>
    <t>슈납스 제조업자</t>
  </si>
  <si>
    <t>감자 수확하는 사람</t>
  </si>
  <si>
    <t>여물꾼</t>
  </si>
  <si>
    <t>- 이 카드를 놓을 때, 즉시 곡식 1개를 받습니다. 개인 창고에 있는 곡식 각각에 아무 종류의 가축 1마리씩을 키울 수 있습니다. (이 가축들은 당신의 농장에 있는 것으로 간주합니다)</t>
  </si>
  <si>
    <t>야간 근무자</t>
  </si>
  <si>
    <t>이랑 쟁기</t>
  </si>
  <si>
    <t>짚 지붕</t>
  </si>
  <si>
    <t>돌 고르기</t>
  </si>
  <si>
    <t>먹이 울타리</t>
  </si>
  <si>
    <t>낚시 그물</t>
  </si>
  <si>
    <t>지독한 배고픔</t>
  </si>
  <si>
    <t>- 채소 종자 행동 칸을 이용한 후에 즉시, 다음 가족 구성원을 원하는 비어있는 누적 칸에 놓을 수 있습니다. 이 누적 칸의 물건을 가져올 때, 해당되는 물건을 추가로 1개 더 가져옵니다</t>
  </si>
  <si>
    <t>언덕 위의 집</t>
  </si>
  <si>
    <t>??</t>
  </si>
  <si>
    <t xml:space="preserve">- </t>
  </si>
  <si>
    <t>- [3라운드 이전] 앞으로 농장에 새로 놓는 밭 타일 1개마다 음식 1개를 내야만 합니다.</t>
  </si>
  <si>
    <t>등불 집</t>
  </si>
  <si>
    <t>회전식 쟁기</t>
  </si>
  <si>
    <t>젖짜기 장소</t>
  </si>
  <si>
    <t>가축 교환</t>
  </si>
  <si>
    <t>사유림</t>
  </si>
  <si>
    <t>양 우물</t>
  </si>
  <si>
    <t>토끼장</t>
  </si>
  <si>
    <t>교육 성과급</t>
  </si>
  <si>
    <t>마력선</t>
  </si>
  <si>
    <t>송로버섯 채칼</t>
  </si>
  <si>
    <t>나무 밭</t>
  </si>
  <si>
    <t>작은 온실</t>
  </si>
  <si>
    <t>도예가의 도자기</t>
  </si>
</sst>
</file>

<file path=xl/styles.xml><?xml version="1.0" encoding="utf-8"?>
<styleSheet xmlns="http://schemas.openxmlformats.org/spreadsheetml/2006/main">
  <numFmts count="13">
    <numFmt numFmtId="65" formatCode="0%"/>
    <numFmt numFmtId="66" formatCode="0_ "/>
    <numFmt numFmtId="67" formatCode="0_);[Red]\(0\)"/>
    <numFmt numFmtId="68" formatCode="0.0_ "/>
    <numFmt numFmtId="69" formatCode="@"/>
    <numFmt numFmtId="176" formatCode="mm&quot;월&quot;\ dd&quot;일&quot;"/>
    <numFmt numFmtId="178" formatCode="0.00_ "/>
    <numFmt numFmtId="180" formatCode="_-[$₩-412]* #,##0_-;\-[$₩-412]* #,##0_-;_-[$₩-412]* &quot;-&quot;_-;_-@_-"/>
    <numFmt numFmtId="181" formatCode="_-* #,##0.00_-;\-* #,##0.00_-;_-* &quot;-&quot;??_-;_-@_-"/>
    <numFmt numFmtId="182" formatCode="_-&quot;₩&quot;* #,##0.00_-;\-&quot;₩&quot;* #,##0.00_-;_-&quot;₩&quot;* &quot;-&quot;??_-;_-@_-"/>
    <numFmt numFmtId="184" formatCode="_-* #,##0_-;\-* #,##0_-;_-* &quot;-&quot;_-;_-@_-"/>
    <numFmt numFmtId="185" formatCode="_-&quot;₩&quot;* #,##0_-;\\\-&quot;₩&quot;* #,##0_-;_-&quot;₩&quot;* &quot;-&quot;_-;_-@_-"/>
    <numFmt numFmtId="186" formatCode="General"/>
  </numFmts>
  <fonts count="60">
    <font>
      <sz val="11.0"/>
      <name val="맑은 고딕"/>
      <color theme="1"/>
    </font>
    <font>
      <sz val="8.0"/>
      <name val="맑은 고딕"/>
      <color rgb="FF000000"/>
    </font>
    <font>
      <u/>
      <sz val="11.0"/>
      <name val="맑은 고딕"/>
      <color theme="10"/>
    </font>
    <font>
      <u/>
      <sz val="11.0"/>
      <name val="맑은 고딕"/>
      <color theme="11"/>
    </font>
    <font>
      <b/>
      <sz val="11.0"/>
      <name val="맑은 고딕"/>
      <color theme="1"/>
    </font>
    <font>
      <b/>
      <sz val="11.0"/>
      <name val="맑은 고딕"/>
      <color theme="0"/>
    </font>
    <font>
      <i/>
      <sz val="11.0"/>
      <name val="맑은 고딕"/>
      <color theme="1"/>
    </font>
    <font>
      <b/>
      <sz val="12.0"/>
      <name val="맑은 고딕"/>
      <color theme="0"/>
    </font>
    <font>
      <b/>
      <sz val="12.0"/>
      <name val="맑은 고딕"/>
      <color theme="1"/>
    </font>
    <font>
      <sz val="11.0"/>
      <name val="맑은 고딕"/>
      <color rgb="FFFF0000"/>
    </font>
    <font>
      <sz val="18.0"/>
      <name val="맑은 고딕"/>
      <color theme="3"/>
    </font>
    <font>
      <b/>
      <sz val="15.0"/>
      <name val="맑은 고딕"/>
      <color theme="3"/>
    </font>
    <font>
      <b/>
      <sz val="13.0"/>
      <name val="맑은 고딕"/>
      <color theme="3"/>
    </font>
    <font>
      <b/>
      <sz val="11.0"/>
      <name val="맑은 고딕"/>
      <color theme="3"/>
    </font>
    <font>
      <sz val="11.0"/>
      <name val="맑은 고딕"/>
      <color rgb="FF3F3F76"/>
    </font>
    <font>
      <b/>
      <sz val="11.0"/>
      <name val="맑은 고딕"/>
      <color rgb="FF3F3F3F"/>
    </font>
    <font>
      <b/>
      <sz val="11.0"/>
      <name val="맑은 고딕"/>
      <color rgb="FFFA7D00"/>
    </font>
    <font>
      <b/>
      <sz val="11.0"/>
      <name val="맑은 고딕"/>
      <color rgb="FFFFFFFF"/>
    </font>
    <font>
      <sz val="11.0"/>
      <name val="맑은 고딕"/>
      <color rgb="FFFA7D00"/>
    </font>
    <font>
      <sz val="11.0"/>
      <name val="맑은 고딕"/>
      <color rgb="FF006100"/>
    </font>
    <font>
      <sz val="11.0"/>
      <name val="맑은 고딕"/>
      <color rgb="FF9C0006"/>
    </font>
    <font>
      <sz val="11.0"/>
      <name val="맑은 고딕"/>
      <color rgb="FF9C6500"/>
    </font>
    <font>
      <sz val="11.0"/>
      <name val="맑은 고딕"/>
      <color theme="0"/>
    </font>
    <font>
      <i/>
      <sz val="11.0"/>
      <name val="맑은 고딕"/>
      <color rgb="FF7F7F7F"/>
    </font>
    <font>
      <b/>
      <sz val="18.0"/>
      <name val="맑은 고딕"/>
      <color rgb="FF000000"/>
    </font>
    <font>
      <sz val="14.0"/>
      <name val="맑은 고딕"/>
      <color rgb="FF000000"/>
    </font>
    <font>
      <sz val="14.0"/>
      <name val="맑은 고딕"/>
      <color rgb="FF333333"/>
    </font>
    <font>
      <sz val="10.0"/>
      <name val="맑은 고딕"/>
      <color rgb="FF000000"/>
    </font>
    <font>
      <sz val="10.0"/>
      <name val="맑은 고딕"/>
      <color rgb="FF333333"/>
    </font>
    <font>
      <b/>
      <sz val="12.0"/>
      <name val="맑은 고딕"/>
      <color rgb="FFFF0000"/>
    </font>
    <font>
      <sz val="10.0"/>
      <name val="맑은 고딕"/>
      <color theme="1"/>
    </font>
    <font>
      <sz val="11.0"/>
      <name val="맑은 고딕"/>
      <color rgb="FF000000"/>
    </font>
    <font>
      <sz val="11.0"/>
      <name val="맑은 고딕"/>
      <color rgb="FFFFFFFF"/>
    </font>
    <font>
      <sz val="14.0"/>
      <name val="맑은 고딕"/>
      <color theme="1"/>
    </font>
    <font>
      <sz val="12.0"/>
      <name val="맑은 고딕"/>
      <color theme="1"/>
    </font>
    <font>
      <b/>
      <sz val="14.0"/>
      <name val="맑은 고딕"/>
      <color theme="1"/>
    </font>
    <font>
      <b/>
      <sz val="14.0"/>
      <name val="맑은 고딕"/>
      <color theme="0"/>
    </font>
    <font>
      <b/>
      <sz val="14.0"/>
      <name val="맑은 고딕"/>
      <color rgb="FFFCCC00"/>
    </font>
    <font>
      <sz val="9.6"/>
      <name val="맑은 고딕"/>
      <color theme="1"/>
    </font>
    <font>
      <sz val="9.6"/>
      <name val="맑은 고딕"/>
      <color rgb="FFFFFFFF"/>
    </font>
    <font>
      <b/>
      <sz val="14.0"/>
      <name val="맑은 고딕"/>
      <color rgb="FFFF0000"/>
    </font>
    <font>
      <b/>
      <sz val="14.0"/>
      <name val="맑은 고딕"/>
      <color rgb="FFFFFFFF"/>
    </font>
    <font>
      <b/>
      <sz val="11.0"/>
      <name val="Avenir"/>
      <color theme="1"/>
    </font>
    <font>
      <sz val="11.0"/>
      <name val="Avenir"/>
      <color theme="1"/>
    </font>
    <font>
      <sz val="10.0"/>
      <name val="Arial"/>
      <color theme="1"/>
    </font>
    <font>
      <b/>
      <i/>
      <sz val="11.0"/>
      <name val="Avenir"/>
      <color theme="1"/>
    </font>
    <font>
      <b/>
      <sz val="11.0"/>
      <name val="맑은 고딕"/>
      <color rgb="FF9C0006"/>
    </font>
    <font>
      <b/>
      <sz val="10.0"/>
      <name val="맑은 고딕"/>
      <color theme="1"/>
    </font>
    <font>
      <b/>
      <sz val="11.0"/>
      <name val="맑은 고딕"/>
      <color rgb="FFFF0000"/>
    </font>
    <font>
      <sz val="1.0"/>
      <name val="맑은 고딕"/>
      <color theme="1"/>
    </font>
    <font>
      <sz val="12.0"/>
      <name val="맑은 고딕"/>
      <color theme="0"/>
    </font>
    <font>
      <b/>
      <sz val="16.0"/>
      <name val="맑은 고딕"/>
      <color theme="1"/>
    </font>
    <font>
      <b/>
      <sz val="16.0"/>
      <name val="맑은 고딕"/>
      <color rgb="FFFFFFFF"/>
    </font>
    <font>
      <b/>
      <sz val="12.0"/>
      <name val="맑은 고딕"/>
      <color rgb="FF9C0006"/>
    </font>
    <font>
      <b/>
      <sz val="11.0"/>
      <name val="맑은 고딕"/>
      <color rgb="FF000000"/>
    </font>
    <font>
      <b/>
      <sz val="16.0"/>
      <name val="맑은 고딕"/>
      <color rgb="FF000000"/>
    </font>
    <font>
      <i/>
      <sz val="14.0"/>
      <name val="맑은 고딕"/>
      <color theme="1"/>
    </font>
    <font>
      <i/>
      <sz val="14.0"/>
      <name val="맑은 고딕"/>
      <color theme="0" tint="-0.499980"/>
    </font>
    <font>
      <b/>
      <sz val="11.0"/>
      <name val="맑은 고딕"/>
      <color rgb="FF0611F2"/>
    </font>
    <font>
      <b/>
      <sz val="11.0"/>
      <name val="맑은 고딕"/>
      <color rgb="FFFF0000"/>
    </font>
  </fonts>
  <fills count="72">
    <fill>
      <patternFill patternType="none"/>
    </fill>
    <fill>
      <patternFill patternType="gray125">
        <fgColor rgb="FF000000"/>
        <bgColor rgb="FFFFFFFF"/>
      </patternFill>
    </fill>
    <fill>
      <patternFill patternType="solid">
        <fgColor theme="7"/>
        <bgColor rgb="FF000000"/>
      </patternFill>
    </fill>
    <fill>
      <patternFill patternType="solid">
        <fgColor theme="7" tint="0.799950"/>
        <bgColor rgb="FF000000"/>
      </patternFill>
    </fill>
    <fill>
      <patternFill patternType="solid">
        <fgColor theme="9" tint="0.799950"/>
        <bgColor rgb="FF000000"/>
      </patternFill>
    </fill>
    <fill>
      <patternFill patternType="solid">
        <fgColor theme="0" tint="-0.049990"/>
        <bgColor rgb="FF000000"/>
      </patternFill>
    </fill>
    <fill>
      <patternFill patternType="solid">
        <fgColor rgb="FFFFFF00"/>
        <bgColor rgb="FF000000"/>
      </patternFill>
    </fill>
    <fill>
      <patternFill patternType="solid">
        <fgColor theme="0"/>
        <bgColor rgb="FF000000"/>
      </patternFill>
    </fill>
    <fill>
      <patternFill patternType="solid">
        <fgColor theme="0" tint="-0.150000"/>
        <bgColor rgb="FF000000"/>
      </patternFill>
    </fill>
    <fill>
      <patternFill patternType="solid">
        <fgColor rgb="FF993300"/>
        <bgColor rgb="FF000000"/>
      </patternFill>
    </fill>
    <fill>
      <patternFill patternType="solid">
        <fgColor theme="0" tint="-0.249980"/>
        <bgColor rgb="FF000000"/>
      </patternFill>
    </fill>
    <fill>
      <patternFill patternType="solid">
        <fgColor rgb="FFC00000"/>
        <bgColor rgb="FF000000"/>
      </patternFill>
    </fill>
    <fill>
      <patternFill patternType="solid">
        <fgColor rgb="FF800000"/>
        <bgColor rgb="FF000000"/>
      </patternFill>
    </fill>
    <fill>
      <patternFill patternType="solid">
        <fgColor rgb="FFDAE7D1"/>
        <bgColor rgb="FF000000"/>
      </patternFill>
    </fill>
    <fill>
      <patternFill patternType="solid">
        <fgColor rgb="FFFCCC00"/>
        <bgColor rgb="FF000000"/>
      </patternFill>
    </fill>
    <fill>
      <patternFill patternType="solid">
        <fgColor rgb="FF0093FF"/>
        <bgColor rgb="FF000000"/>
      </patternFill>
    </fill>
    <fill>
      <patternFill patternType="solid">
        <fgColor rgb="FF05BCA5"/>
        <bgColor rgb="FF000000"/>
      </patternFill>
    </fill>
    <fill>
      <patternFill patternType="solid">
        <fgColor rgb="FFFFB900"/>
        <bgColor rgb="FF000000"/>
      </patternFill>
    </fill>
    <fill>
      <patternFill patternType="solid">
        <fgColor rgb="FF9AA4AF"/>
        <bgColor rgb="FF000000"/>
      </patternFill>
    </fill>
    <fill>
      <patternFill patternType="solid">
        <fgColor rgb="FFA88A67"/>
        <bgColor rgb="FF000000"/>
      </patternFill>
    </fill>
    <fill>
      <patternFill patternType="solid">
        <fgColor rgb="FFBA0909"/>
        <bgColor rgb="FF000000"/>
      </patternFill>
    </fill>
    <fill>
      <patternFill patternType="solid">
        <fgColor rgb="FFE2F0D9"/>
        <bgColor rgb="FF000000"/>
      </patternFill>
    </fill>
    <fill>
      <patternFill patternType="solid">
        <fgColor theme="9" tint="0.799980"/>
        <bgColor rgb="FF000000"/>
      </patternFill>
    </fill>
    <fill>
      <patternFill patternType="solid">
        <fgColor theme="5" tint="0.799980"/>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599990"/>
        <bgColor rgb="FF000000"/>
      </patternFill>
    </fill>
    <fill>
      <patternFill patternType="solid">
        <fgColor theme="9" tint="0.399980"/>
        <bgColor rgb="FF000000"/>
      </patternFill>
    </fill>
    <fill>
      <patternFill patternType="solid">
        <fgColor theme="0" tint="-0.499980"/>
        <bgColor rgb="FF000000"/>
      </patternFill>
    </fill>
    <fill>
      <patternFill patternType="solid">
        <fgColor rgb="FF843C0B"/>
        <bgColor rgb="FF000000"/>
      </patternFill>
    </fill>
    <fill>
      <patternFill patternType="solid">
        <fgColor theme="1"/>
        <bgColor rgb="FF000000"/>
      </patternFill>
    </fill>
    <fill>
      <patternFill patternType="solid">
        <fgColor rgb="FFB4FDF3"/>
        <bgColor rgb="FF000000"/>
      </patternFill>
    </fill>
    <fill>
      <patternFill patternType="solid">
        <fgColor rgb="FFFFFFFF"/>
        <bgColor rgb="FF000000"/>
      </patternFill>
    </fill>
    <fill>
      <patternFill patternType="solid">
        <fgColor rgb="FF7BC7FF"/>
        <bgColor rgb="FF000000"/>
      </patternFill>
    </fill>
    <fill>
      <patternFill patternType="solid">
        <fgColor rgb="FF009297"/>
        <bgColor rgb="FF000000"/>
      </patternFill>
    </fill>
    <fill>
      <patternFill patternType="solid">
        <fgColor rgb="FF0EB7A2"/>
        <bgColor rgb="FF000000"/>
      </patternFill>
    </fill>
    <fill>
      <patternFill patternType="solid">
        <fgColor rgb="FF0095FF"/>
        <bgColor rgb="FF000000"/>
      </patternFill>
    </fill>
    <fill>
      <patternFill patternType="solid">
        <fgColor rgb="FFF5E9C5"/>
        <bgColor rgb="FF000000"/>
      </patternFill>
    </fill>
    <fill>
      <patternFill patternType="solid">
        <fgColor rgb="FFE9E9E9"/>
        <bgColor rgb="FF000000"/>
      </patternFill>
    </fill>
    <fill>
      <patternFill patternType="solid">
        <fgColor rgb="FFBABABA"/>
        <bgColor rgb="FF000000"/>
      </patternFill>
    </fill>
    <fill>
      <patternFill patternType="solid">
        <fgColor rgb="FF099095"/>
        <bgColor rgb="FF000000"/>
      </patternFill>
    </fill>
    <fill>
      <patternFill patternType="solid">
        <fgColor theme="3" tint="0.799980"/>
        <bgColor rgb="FF000000"/>
      </patternFill>
    </fill>
    <fill>
      <patternFill patternType="solid">
        <fgColor rgb="FFF5F5F5"/>
        <bgColor rgb="FF000000"/>
      </patternFill>
    </fill>
    <fill>
      <patternFill patternType="solid">
        <fgColor rgb="FFFF0000"/>
        <bgColor rgb="FF000000"/>
      </patternFill>
    </fill>
    <fill>
      <patternFill patternType="solid">
        <fgColor rgb="FF990000"/>
        <bgColor rgb="FF000000"/>
      </patternFill>
    </fill>
    <fill>
      <patternFill patternType="solid">
        <fgColor theme="4" tint="0.599990"/>
        <bgColor theme="1"/>
      </patternFill>
    </fill>
    <fill>
      <patternFill patternType="solid">
        <fgColor rgb="FFFFF2CC"/>
        <bgColor rgb="FF000000"/>
      </patternFill>
    </fill>
    <fill>
      <patternFill patternType="solid">
        <fgColor theme="7" tint="0.799980"/>
        <bgColor rgb="FF000000"/>
      </patternFill>
    </fill>
  </fills>
  <borders count="73">
    <border>
      <left/>
      <right/>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style="medium">
        <color rgb="FF000000"/>
      </top>
      <bottom style="thin">
        <color rgb="FF000000"/>
      </bottom>
    </border>
    <border>
      <left/>
      <right style="thick">
        <color rgb="FF000000"/>
      </right>
      <top/>
      <bottom/>
    </border>
    <border>
      <left/>
      <right style="medium">
        <color rgb="FF000000"/>
      </right>
      <top/>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right/>
      <top style="medium">
        <color rgb="FF000000"/>
      </top>
      <bottom style="thin">
        <color rgb="FF000000"/>
      </bottom>
    </border>
    <border>
      <left style="medium">
        <color rgb="FF000000"/>
      </left>
      <right style="medium">
        <color rgb="FF000000"/>
      </right>
      <top style="thin">
        <color rgb="FF000000"/>
      </top>
      <bottom/>
    </border>
    <border>
      <left/>
      <right style="thin">
        <color rgb="FF000000"/>
      </right>
      <top/>
      <bottom style="medium">
        <color rgb="FF000000"/>
      </bottom>
    </border>
    <border>
      <left style="medium">
        <color rgb="FF000000"/>
      </left>
      <right style="thin">
        <color rgb="FF000000"/>
      </right>
      <top style="medium">
        <color rgb="FF000000"/>
      </top>
      <bottom/>
    </border>
    <border>
      <left style="medium">
        <color rgb="FF000000"/>
      </left>
      <right style="thin">
        <color rgb="FF000000"/>
      </right>
      <top/>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right/>
      <top style="medium">
        <color rgb="FF000000"/>
      </top>
      <bottom/>
    </border>
    <border>
      <left style="medium">
        <color rgb="FF000000"/>
      </left>
      <right/>
      <top/>
      <bottom/>
    </border>
    <border>
      <left style="medium">
        <color rgb="FF000000"/>
      </left>
      <right/>
      <top/>
      <bottom style="medium">
        <color rgb="FF000000"/>
      </bottom>
    </border>
    <border>
      <left style="thin">
        <color rgb="FF000000"/>
      </left>
      <right/>
      <top style="thin">
        <color rgb="FF000000"/>
      </top>
      <bottom/>
    </border>
    <border>
      <left style="thin">
        <color rgb="FF000000"/>
      </left>
      <right/>
      <top/>
      <bottom/>
    </border>
    <border>
      <left style="thin">
        <color rgb="FF000000"/>
      </left>
      <right/>
      <top/>
      <bottom style="thin">
        <color rgb="FF000000"/>
      </bottom>
    </border>
    <border>
      <left/>
      <right/>
      <top style="medium">
        <color rgb="FF000000"/>
      </top>
      <bottom/>
    </border>
    <border>
      <left style="thin">
        <color rgb="FF000000"/>
      </left>
      <right/>
      <top style="medium">
        <color rgb="FF000000"/>
      </top>
      <bottom style="medium">
        <color rgb="FF000000"/>
      </bottom>
    </border>
    <border>
      <left/>
      <right style="thin">
        <color rgb="FF000000"/>
      </right>
      <top style="medium">
        <color rgb="FF000000"/>
      </top>
      <bottom style="medium">
        <color rgb="FF000000"/>
      </bottom>
    </border>
    <border>
      <left/>
      <right/>
      <top/>
      <bottom style="medium">
        <color rgb="FF000000"/>
      </bottom>
    </border>
    <border>
      <left/>
      <right/>
      <top style="thin">
        <color rgb="FF000000"/>
      </top>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top style="thin">
        <color rgb="FF000000"/>
      </top>
      <bottom/>
    </border>
    <border>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
      <left/>
      <right style="medium">
        <color rgb="FFCCCCCC"/>
      </right>
      <top style="medium">
        <color rgb="FFCCCCCC"/>
      </top>
      <bottom style="medium">
        <color rgb="FFCCCCCC"/>
      </bottom>
    </border>
    <border>
      <left/>
      <right style="medium">
        <color rgb="FFCCCCCC"/>
      </right>
      <top style="medium">
        <color rgb="FFCCCCCC"/>
      </top>
      <bottom/>
    </border>
    <border>
      <left/>
      <right/>
      <top style="medium">
        <color rgb="FFCCCCCC"/>
      </top>
      <bottom style="medium">
        <color rgb="FFCCCCCC"/>
      </bottom>
    </border>
    <border>
      <left/>
      <right style="medium">
        <color rgb="FFCCCCCC"/>
      </right>
      <top/>
      <bottom style="medium">
        <color rgb="FFCCCCCC"/>
      </bottom>
    </border>
    <border>
      <left/>
      <right style="medium">
        <color rgb="FF000000"/>
      </right>
      <top style="medium">
        <color rgb="FF000000"/>
      </top>
      <bottom style="thin">
        <color rgb="FF000000"/>
      </bottom>
    </border>
    <border>
      <left style="thin">
        <color rgb="FF000000"/>
      </left>
      <right/>
      <top style="thin">
        <color rgb="FF000000"/>
      </top>
      <bottom style="medium">
        <color rgb="FF000000"/>
      </bottom>
    </border>
    <border>
      <left/>
      <right/>
      <top style="medium">
        <color rgb="FF000000"/>
      </top>
      <bottom style="thin">
        <color rgb="FF000000"/>
      </bottom>
    </border>
    <border>
      <left/>
      <right/>
      <top/>
      <bottom style="thin">
        <color rgb="FF000000"/>
      </bottom>
    </border>
  </borders>
  <cellStyleXfs count="50">
    <xf numFmtId="0" fontId="0" fillId="0" borderId="0">
      <alignment vertical="center"/>
    </xf>
    <xf numFmtId="0" fontId="2" fillId="0" borderId="0" applyAlignment="0" applyBorder="0" applyFill="0" applyNumberFormat="0" applyProtection="0">
      <alignment vertical="center"/>
    </xf>
    <xf numFmtId="0" fontId="3" fillId="0" borderId="0" applyAlignment="0" applyBorder="0" applyFill="0" applyNumberFormat="0" applyProtection="0">
      <alignment vertical="center"/>
    </xf>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0" fillId="24" borderId="13" applyAlignment="0" applyFont="0" applyNumberFormat="0" applyProtection="0">
      <alignment vertical="center"/>
    </xf>
    <xf numFmtId="0" fontId="9" fillId="0" borderId="0" applyAlignment="0" applyBorder="0" applyFill="0" applyNumberFormat="0" applyProtection="0">
      <alignment vertical="center"/>
    </xf>
    <xf numFmtId="0" fontId="10" fillId="0" borderId="0" applyAlignment="0" applyBorder="0" applyFill="0" applyNumberFormat="0" applyProtection="0">
      <alignment vertical="center"/>
    </xf>
    <xf numFmtId="0" fontId="11" fillId="0" borderId="14" applyAlignment="0" applyFill="0" applyNumberFormat="0" applyProtection="0">
      <alignment vertical="center"/>
    </xf>
    <xf numFmtId="0" fontId="12" fillId="0" borderId="15" applyAlignment="0" applyFill="0" applyNumberFormat="0" applyProtection="0">
      <alignment vertical="center"/>
    </xf>
    <xf numFmtId="0" fontId="13" fillId="0" borderId="16" applyAlignment="0" applyFill="0" applyNumberFormat="0" applyProtection="0">
      <alignment vertical="center"/>
    </xf>
    <xf numFmtId="0" fontId="13" fillId="0" borderId="0" applyAlignment="0" applyBorder="0" applyFill="0" applyNumberFormat="0" applyProtection="0">
      <alignment vertical="center"/>
    </xf>
    <xf numFmtId="0" fontId="14" fillId="25" borderId="17" applyAlignment="0" applyNumberFormat="0" applyProtection="0">
      <alignment vertical="center"/>
    </xf>
    <xf numFmtId="0" fontId="15" fillId="26" borderId="18" applyAlignment="0" applyNumberFormat="0" applyProtection="0">
      <alignment vertical="center"/>
    </xf>
    <xf numFmtId="0" fontId="16" fillId="26" borderId="17" applyAlignment="0" applyNumberFormat="0" applyProtection="0">
      <alignment vertical="center"/>
    </xf>
    <xf numFmtId="0" fontId="17" fillId="27" borderId="19" applyAlignment="0" applyNumberFormat="0" applyProtection="0">
      <alignment vertical="center"/>
    </xf>
    <xf numFmtId="0" fontId="18" fillId="0" borderId="20" applyAlignment="0" applyFill="0" applyNumberFormat="0" applyProtection="0">
      <alignment vertical="center"/>
    </xf>
    <xf numFmtId="0" fontId="4" fillId="0" borderId="21" applyAlignment="0" applyFill="0" applyNumberFormat="0" applyProtection="0">
      <alignment vertical="center"/>
    </xf>
    <xf numFmtId="0" fontId="19" fillId="28" borderId="0" applyAlignment="0" applyBorder="0" applyNumberFormat="0" applyProtection="0">
      <alignment vertical="center"/>
    </xf>
    <xf numFmtId="0" fontId="20" fillId="29" borderId="0" applyAlignment="0" applyBorder="0" applyNumberFormat="0" applyProtection="0">
      <alignment vertical="center"/>
    </xf>
    <xf numFmtId="0" fontId="21" fillId="30" borderId="0" applyAlignment="0" applyBorder="0" applyNumberFormat="0" applyProtection="0">
      <alignment vertical="center"/>
    </xf>
    <xf numFmtId="0" fontId="22" fillId="31" borderId="0" applyAlignment="0" applyBorder="0" applyNumberFormat="0" applyProtection="0">
      <alignment vertical="center"/>
    </xf>
    <xf numFmtId="0" fontId="0" fillId="32" borderId="0" applyAlignment="0" applyBorder="0" applyNumberFormat="0" applyProtection="0">
      <alignment vertical="center"/>
    </xf>
    <xf numFmtId="0" fontId="0" fillId="33" borderId="0" applyAlignment="0" applyBorder="0" applyNumberFormat="0" applyProtection="0">
      <alignment vertical="center"/>
    </xf>
    <xf numFmtId="0" fontId="22" fillId="34" borderId="0" applyAlignment="0" applyBorder="0" applyNumberFormat="0" applyProtection="0">
      <alignment vertical="center"/>
    </xf>
    <xf numFmtId="0" fontId="22" fillId="35" borderId="0" applyAlignment="0" applyBorder="0" applyNumberFormat="0" applyProtection="0">
      <alignment vertical="center"/>
    </xf>
    <xf numFmtId="0" fontId="0" fillId="23" borderId="0" applyAlignment="0" applyBorder="0" applyNumberFormat="0" applyProtection="0">
      <alignment vertical="center"/>
    </xf>
    <xf numFmtId="0" fontId="0" fillId="36" borderId="0" applyAlignment="0" applyBorder="0" applyNumberFormat="0" applyProtection="0">
      <alignment vertical="center"/>
    </xf>
    <xf numFmtId="0" fontId="22" fillId="37" borderId="0" applyAlignment="0" applyBorder="0" applyNumberFormat="0" applyProtection="0">
      <alignment vertical="center"/>
    </xf>
    <xf numFmtId="0" fontId="22" fillId="38" borderId="0" applyAlignment="0" applyBorder="0" applyNumberFormat="0" applyProtection="0">
      <alignment vertical="center"/>
    </xf>
    <xf numFmtId="0" fontId="0" fillId="39" borderId="0" applyAlignment="0" applyBorder="0" applyNumberFormat="0" applyProtection="0">
      <alignment vertical="center"/>
    </xf>
    <xf numFmtId="0" fontId="0" fillId="40" borderId="0" applyAlignment="0" applyBorder="0" applyNumberFormat="0" applyProtection="0">
      <alignment vertical="center"/>
    </xf>
    <xf numFmtId="0" fontId="22" fillId="41" borderId="0" applyAlignment="0" applyBorder="0" applyNumberFormat="0" applyProtection="0">
      <alignment vertical="center"/>
    </xf>
    <xf numFmtId="0" fontId="22" fillId="2" borderId="0" applyAlignment="0" applyBorder="0" applyNumberFormat="0" applyProtection="0">
      <alignment vertical="center"/>
    </xf>
    <xf numFmtId="0" fontId="0" fillId="42" borderId="0" applyAlignment="0" applyBorder="0" applyNumberFormat="0" applyProtection="0">
      <alignment vertical="center"/>
    </xf>
    <xf numFmtId="0" fontId="0" fillId="43" borderId="0" applyAlignment="0" applyBorder="0" applyNumberFormat="0" applyProtection="0">
      <alignment vertical="center"/>
    </xf>
    <xf numFmtId="0" fontId="22" fillId="44" borderId="0" applyAlignment="0" applyBorder="0" applyNumberFormat="0" applyProtection="0">
      <alignment vertical="center"/>
    </xf>
    <xf numFmtId="0" fontId="22" fillId="45" borderId="0" applyAlignment="0" applyBorder="0" applyNumberFormat="0" applyProtection="0">
      <alignment vertical="center"/>
    </xf>
    <xf numFmtId="0" fontId="0" fillId="46" borderId="0" applyAlignment="0" applyBorder="0" applyNumberFormat="0" applyProtection="0">
      <alignment vertical="center"/>
    </xf>
    <xf numFmtId="0" fontId="0" fillId="47" borderId="0" applyAlignment="0" applyBorder="0" applyNumberFormat="0" applyProtection="0">
      <alignment vertical="center"/>
    </xf>
    <xf numFmtId="0" fontId="22" fillId="48" borderId="0" applyAlignment="0" applyBorder="0" applyNumberFormat="0" applyProtection="0">
      <alignment vertical="center"/>
    </xf>
    <xf numFmtId="0" fontId="22" fillId="49" borderId="0" applyAlignment="0" applyBorder="0" applyNumberFormat="0" applyProtection="0">
      <alignment vertical="center"/>
    </xf>
    <xf numFmtId="0" fontId="0" fillId="22" borderId="0" applyAlignment="0" applyBorder="0" applyNumberFormat="0" applyProtection="0">
      <alignment vertical="center"/>
    </xf>
    <xf numFmtId="0" fontId="0" fillId="50" borderId="0" applyAlignment="0" applyBorder="0" applyNumberFormat="0" applyProtection="0">
      <alignment vertical="center"/>
    </xf>
    <xf numFmtId="0" fontId="22" fillId="51" borderId="0" applyAlignment="0" applyBorder="0" applyNumberFormat="0" applyProtection="0">
      <alignment vertical="center"/>
    </xf>
    <xf numFmtId="0" fontId="23" fillId="0" borderId="0" applyAlignment="0" applyBorder="0" applyFill="0" applyNumberFormat="0" applyProtection="0">
      <alignment vertical="center"/>
    </xf>
  </cellStyleXfs>
  <cellXfs count="982">
    <xf numFmtId="0" fontId="0" fillId="0" borderId="0" xfId="0">
      <alignment vertical="center"/>
    </xf>
    <xf numFmtId="0" fontId="0" fillId="0" borderId="0" xfId="0" applyAlignment="1">
      <alignment horizontal="center" vertical="center"/>
    </xf>
    <xf numFmtId="0" fontId="4" fillId="5" borderId="1" xfId="0"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4" fillId="0" borderId="1" xfId="0" applyBorder="1" applyAlignment="1">
      <alignment horizontal="center" vertical="center"/>
    </xf>
    <xf numFmtId="0" fontId="4" fillId="5" borderId="3" xfId="0"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0" xfId="0" applyBorder="1" applyAlignment="1">
      <alignment horizontal="center" vertical="center"/>
    </xf>
    <xf numFmtId="0" fontId="0" fillId="0" borderId="0" xfId="0" applyBorder="1" applyAlignment="1">
      <alignment horizontal="center" vertical="center"/>
    </xf>
    <xf numFmtId="0" fontId="0" fillId="4" borderId="1" xfId="0" applyFill="1" applyBorder="1" applyAlignment="1">
      <alignment horizontal="center" vertical="center"/>
    </xf>
    <xf numFmtId="0" fontId="0" fillId="0" borderId="0" xfId="0" applyAlignment="1">
      <alignment vertical="center" wrapText="1"/>
    </xf>
    <xf numFmtId="0" fontId="4" fillId="5" borderId="0" xfId="0" applyFill="1" applyBorder="1" applyAlignment="1">
      <alignment horizontal="center" vertical="center"/>
    </xf>
    <xf numFmtId="0" fontId="0" fillId="0" borderId="0" xfId="0" applyBorder="1">
      <alignment vertical="center"/>
    </xf>
    <xf numFmtId="0" fontId="0" fillId="5" borderId="1" xfId="0" applyFill="1" applyBorder="1" applyAlignment="1">
      <alignment horizontal="center" vertical="center"/>
    </xf>
    <xf numFmtId="0" fontId="0" fillId="0" borderId="1" xfId="0" applyBorder="1" applyAlignment="1">
      <alignment horizontal="center" vertical="center" wrapText="1"/>
    </xf>
    <xf numFmtId="0" fontId="4" fillId="0" borderId="0" xfId="0">
      <alignment vertical="center"/>
    </xf>
    <xf numFmtId="0" fontId="4" fillId="0" borderId="0" xfId="0" applyAlignment="1">
      <alignment horizontal="center" vertical="center"/>
    </xf>
    <xf numFmtId="0" fontId="0" fillId="7" borderId="0" xfId="0" applyFill="1" applyAlignment="1">
      <alignment horizontal="center" vertical="center"/>
    </xf>
    <xf numFmtId="9" fontId="0" fillId="0" borderId="0" xfId="0" applyNumberFormat="1" applyAlignment="1">
      <alignment horizontal="center" vertical="center"/>
    </xf>
    <xf numFmtId="0" fontId="0" fillId="0" borderId="0" xfId="0" applyAlignment="1">
      <alignment horizontal="left" vertical="center" wrapText="1"/>
    </xf>
    <xf numFmtId="0" fontId="4" fillId="5" borderId="1" xfId="0" applyFill="1" applyBorder="1" applyAlignment="1">
      <alignment horizontal="center" vertical="center" wrapText="1"/>
    </xf>
    <xf numFmtId="0" fontId="0" fillId="0" borderId="1" xfId="0" quotePrefix="1" applyBorder="1" applyAlignment="1">
      <alignment horizontal="left" vertical="center" wrapText="1"/>
    </xf>
    <xf numFmtId="9" fontId="0" fillId="0" borderId="1" xfId="0" applyNumberFormat="1" applyBorder="1" applyAlignment="1">
      <alignment horizontal="center" vertical="center"/>
    </xf>
    <xf numFmtId="0" fontId="0" fillId="0" borderId="7" xfId="0" applyBorder="1" applyAlignment="1">
      <alignment horizontal="center" vertical="center"/>
    </xf>
    <xf numFmtId="9" fontId="0" fillId="6" borderId="1" xfId="0" applyNumberFormat="1" applyFill="1" applyBorder="1" applyAlignment="1">
      <alignment horizontal="center" vertical="center"/>
    </xf>
    <xf numFmtId="0" fontId="0" fillId="7" borderId="1" xfId="0" applyFill="1" applyBorder="1" applyAlignment="1">
      <alignment horizontal="center" vertical="center"/>
    </xf>
    <xf numFmtId="0" fontId="4" fillId="7" borderId="1" xfId="0" applyFill="1" applyBorder="1" applyAlignment="1">
      <alignment horizontal="center" vertical="center"/>
    </xf>
    <xf numFmtId="0" fontId="0" fillId="7" borderId="1" xfId="0" quotePrefix="1" applyFill="1" applyBorder="1" applyAlignment="1">
      <alignment horizontal="left" vertical="center" wrapText="1"/>
    </xf>
    <xf numFmtId="9" fontId="0" fillId="7" borderId="1" xfId="0" applyNumberForma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left" vertical="center" wrapText="1"/>
    </xf>
    <xf numFmtId="0" fontId="4" fillId="0" borderId="1" xfId="0" applyBorder="1" applyAlignment="1">
      <alignment horizontal="left" vertical="center" wrapText="1"/>
    </xf>
    <xf numFmtId="0" fontId="0" fillId="7" borderId="0" xfId="0" applyFill="1" applyBorder="1" applyAlignment="1">
      <alignment horizontal="center" vertical="center"/>
    </xf>
    <xf numFmtId="0" fontId="4" fillId="0" borderId="1" xfId="0" applyBorder="1" applyAlignment="1">
      <alignment horizontal="center" vertical="center" wrapText="1"/>
    </xf>
    <xf numFmtId="9" fontId="4" fillId="0" borderId="1" xfId="0" applyNumberFormat="1" applyBorder="1" applyAlignment="1">
      <alignment horizontal="center" vertical="center"/>
    </xf>
    <xf numFmtId="66" fontId="4" fillId="0" borderId="0" xfId="0" applyNumberFormat="1" applyBorder="1" applyAlignment="1">
      <alignment horizontal="center" vertical="center"/>
    </xf>
    <xf numFmtId="66" fontId="0" fillId="0" borderId="0" xfId="0" applyNumberFormat="1" applyBorder="1" applyAlignment="1">
      <alignment horizontal="center" vertical="center"/>
    </xf>
    <xf numFmtId="0" fontId="0" fillId="0" borderId="0" xfId="0" applyBorder="1" applyAlignment="1">
      <alignment vertical="center" wrapText="1"/>
    </xf>
    <xf numFmtId="0" fontId="0" fillId="7" borderId="0" xfId="0" applyFill="1">
      <alignment vertical="center"/>
    </xf>
    <xf numFmtId="0" fontId="4" fillId="8" borderId="1" xfId="0" applyFill="1" applyBorder="1" applyAlignment="1">
      <alignment horizontal="center" vertical="center"/>
    </xf>
    <xf numFmtId="0" fontId="5" fillId="9" borderId="0" xfId="0" applyFill="1" applyAlignment="1">
      <alignment horizontal="center" vertical="center"/>
    </xf>
    <xf numFmtId="0" fontId="4" fillId="2" borderId="0" xfId="0" applyFill="1" applyAlignment="1">
      <alignment horizontal="center" vertical="center"/>
    </xf>
    <xf numFmtId="0" fontId="4" fillId="7" borderId="0" xfId="0" applyFill="1" applyAlignment="1">
      <alignment horizontal="center" vertical="center"/>
    </xf>
    <xf numFmtId="0" fontId="4" fillId="7" borderId="0" xfId="0" applyFill="1" applyBorder="1" applyAlignment="1">
      <alignment horizontal="center" vertical="center"/>
    </xf>
    <xf numFmtId="0" fontId="0" fillId="7" borderId="0" xfId="0" applyFill="1" applyBorder="1">
      <alignment vertical="center"/>
    </xf>
    <xf numFmtId="0" fontId="0" fillId="0" borderId="10" xfId="0" applyBorder="1" applyAlignment="1">
      <alignment horizontal="center" vertical="center"/>
    </xf>
    <xf numFmtId="0" fontId="0" fillId="0" borderId="1" xfId="0" quotePrefix="1" applyBorder="1" applyAlignment="1">
      <alignment horizontal="center" vertical="center"/>
    </xf>
    <xf numFmtId="0" fontId="0" fillId="7" borderId="1" xfId="0" applyFill="1" applyBorder="1" applyAlignment="1">
      <alignment horizontal="center" vertical="center" wrapText="1"/>
    </xf>
    <xf numFmtId="0" fontId="0" fillId="7" borderId="1" xfId="0" quotePrefix="1" applyFill="1" applyBorder="1" applyAlignment="1">
      <alignment horizontal="center" vertical="center"/>
    </xf>
    <xf numFmtId="0" fontId="4" fillId="0" borderId="1" xfId="0" applyBorder="1">
      <alignment vertical="center"/>
    </xf>
    <xf numFmtId="0" fontId="0" fillId="0" borderId="0" xfId="0" quotePrefix="1" applyBorder="1" applyAlignment="1">
      <alignment vertical="center" wrapText="1"/>
    </xf>
    <xf numFmtId="0" fontId="0" fillId="10" borderId="0" xfId="0" applyFill="1" applyBorder="1">
      <alignment vertical="center"/>
    </xf>
    <xf numFmtId="66" fontId="0" fillId="0" borderId="1" xfId="0" applyNumberFormat="1" applyBorder="1" applyAlignment="1">
      <alignment horizontal="center" vertical="center"/>
    </xf>
    <xf numFmtId="0" fontId="0" fillId="10" borderId="1" xfId="0" applyFill="1" applyBorder="1" applyAlignment="1">
      <alignment horizontal="center" vertical="center"/>
    </xf>
    <xf numFmtId="0" fontId="6" fillId="8" borderId="1" xfId="0" applyFill="1" applyBorder="1" applyAlignment="1">
      <alignment horizontal="center" vertical="center"/>
    </xf>
    <xf numFmtId="68" fontId="0" fillId="0" borderId="1" xfId="0" applyNumberFormat="1" applyBorder="1" applyAlignment="1">
      <alignment horizontal="center" vertical="center"/>
    </xf>
    <xf numFmtId="66" fontId="0" fillId="10" borderId="1" xfId="0" applyNumberFormat="1" applyFill="1" applyBorder="1" applyAlignment="1">
      <alignment horizontal="center" vertical="center"/>
    </xf>
    <xf numFmtId="0" fontId="4" fillId="7" borderId="1" xfId="0" applyFill="1" applyBorder="1" applyAlignment="1">
      <alignment horizontal="center" vertical="center" wrapText="1"/>
    </xf>
    <xf numFmtId="0" fontId="4" fillId="4" borderId="1" xfId="0" applyFill="1" applyBorder="1" applyAlignment="1">
      <alignment horizontal="center" vertical="center"/>
    </xf>
    <xf numFmtId="0" fontId="0" fillId="0" borderId="11" xfId="0" applyBorder="1" applyAlignment="1">
      <alignment horizontal="center" vertical="center"/>
    </xf>
    <xf numFmtId="0" fontId="0" fillId="4" borderId="1" xfId="0" quotePrefix="1" applyFill="1" applyBorder="1" applyAlignment="1">
      <alignment horizontal="left" vertical="center" wrapText="1"/>
    </xf>
    <xf numFmtId="9" fontId="0" fillId="4" borderId="1" xfId="0" applyNumberFormat="1" applyFill="1" applyBorder="1" applyAlignment="1">
      <alignment horizontal="center" vertical="center"/>
    </xf>
    <xf numFmtId="178" fontId="0" fillId="0" borderId="1" xfId="0" applyNumberFormat="1" applyBorder="1" applyAlignment="1">
      <alignment horizontal="center" vertical="center"/>
    </xf>
    <xf numFmtId="178" fontId="0" fillId="4" borderId="1" xfId="0" applyNumberFormat="1" applyFill="1" applyBorder="1" applyAlignment="1">
      <alignment horizontal="center" vertical="center"/>
    </xf>
    <xf numFmtId="9" fontId="5" fillId="11" borderId="1" xfId="0" applyNumberFormat="1" applyFill="1" applyBorder="1" applyAlignment="1">
      <alignment horizontal="center" vertical="center" wrapText="1"/>
    </xf>
    <xf numFmtId="0" fontId="5" fillId="7" borderId="0" xfId="0" applyFill="1" applyAlignment="1">
      <alignment horizontal="center" vertical="center"/>
    </xf>
    <xf numFmtId="180" fontId="4" fillId="0" borderId="1" xfId="0" applyNumberFormat="1" applyBorder="1" applyAlignment="1">
      <alignment horizontal="center" vertical="center"/>
    </xf>
    <xf numFmtId="0" fontId="4" fillId="3" borderId="1" xfId="0" applyFill="1" applyBorder="1" applyAlignment="1">
      <alignment horizontal="center" vertical="center"/>
    </xf>
    <xf numFmtId="0" fontId="4" fillId="3" borderId="0" xfId="0" applyFill="1" applyAlignment="1">
      <alignment horizontal="center" vertical="center"/>
    </xf>
    <xf numFmtId="0" fontId="4" fillId="4" borderId="0" xfId="0" applyFill="1" applyAlignment="1">
      <alignment horizontal="center" vertical="center"/>
    </xf>
    <xf numFmtId="0" fontId="4" fillId="6" borderId="0" xfId="0" applyFill="1" applyAlignment="1">
      <alignment horizontal="center" vertical="center"/>
    </xf>
    <xf numFmtId="0" fontId="4" fillId="4" borderId="1" xfId="0" applyFill="1" applyBorder="1" applyAlignment="1">
      <alignment horizontal="center" vertical="center" wrapText="1"/>
    </xf>
    <xf numFmtId="9" fontId="4" fillId="7" borderId="0" xfId="0" applyNumberFormat="1" applyFill="1" applyBorder="1" applyAlignment="1">
      <alignment horizontal="center" vertical="center"/>
    </xf>
    <xf numFmtId="0" fontId="4" fillId="7" borderId="1" xfId="0" applyFill="1" applyBorder="1">
      <alignment vertical="center"/>
    </xf>
    <xf numFmtId="0" fontId="4" fillId="13" borderId="1" xfId="0" applyFill="1" applyBorder="1" applyAlignment="1">
      <alignment horizontal="center" vertical="center"/>
    </xf>
    <xf numFmtId="0" fontId="0" fillId="13" borderId="1" xfId="0" applyFill="1" applyBorder="1" applyAlignment="1">
      <alignment horizontal="center" vertical="center"/>
    </xf>
    <xf numFmtId="0" fontId="0" fillId="13" borderId="1" xfId="0" applyFill="1" applyBorder="1">
      <alignment vertical="center"/>
    </xf>
    <xf numFmtId="0" fontId="0" fillId="13" borderId="1" xfId="0" quotePrefix="1" applyFill="1" applyBorder="1" applyAlignment="1">
      <alignment horizontal="left" vertical="center" wrapText="1"/>
    </xf>
    <xf numFmtId="9" fontId="0" fillId="13" borderId="1" xfId="0" applyNumberFormat="1" applyFill="1" applyBorder="1" applyAlignment="1">
      <alignment horizontal="center" vertical="center"/>
    </xf>
    <xf numFmtId="0" fontId="4" fillId="5" borderId="2" xfId="0" applyFill="1" applyBorder="1" applyAlignment="1">
      <alignment horizontal="center" vertical="center"/>
    </xf>
    <xf numFmtId="0" fontId="4" fillId="7" borderId="0" xfId="0" applyFill="1" applyBorder="1" applyAlignment="1">
      <alignment vertical="center"/>
    </xf>
    <xf numFmtId="0" fontId="4" fillId="5" borderId="10" xfId="0" applyFill="1" applyBorder="1" applyAlignment="1">
      <alignment horizontal="center" vertical="center"/>
    </xf>
    <xf numFmtId="9" fontId="0" fillId="7" borderId="0" xfId="0" applyNumberFormat="1" applyFill="1" applyBorder="1" applyAlignment="1">
      <alignment horizontal="center" vertical="center"/>
    </xf>
    <xf numFmtId="0" fontId="0" fillId="0" borderId="0" xfId="0" quotePrefix="1" applyBorder="1">
      <alignment vertical="center"/>
    </xf>
    <xf numFmtId="180" fontId="4" fillId="7" borderId="1" xfId="0" applyNumberFormat="1" applyFill="1" applyBorder="1" applyAlignment="1">
      <alignment horizontal="center" vertical="center"/>
    </xf>
    <xf numFmtId="178" fontId="0" fillId="7" borderId="1" xfId="0" applyNumberFormat="1" applyFill="1" applyBorder="1" applyAlignment="1">
      <alignment horizontal="center" vertical="center"/>
    </xf>
    <xf numFmtId="0" fontId="0" fillId="7" borderId="1" xfId="0" applyFill="1" applyBorder="1" applyAlignment="1">
      <alignment horizontal="left" vertical="center" wrapText="1"/>
    </xf>
    <xf numFmtId="9" fontId="0" fillId="0" borderId="0" xfId="0" applyNumberFormat="1" applyBorder="1" applyAlignment="1">
      <alignment horizontal="center" vertical="center"/>
    </xf>
    <xf numFmtId="0" fontId="7" fillId="12" borderId="1" xfId="0" applyFill="1" applyBorder="1" applyAlignment="1">
      <alignment horizontal="center" vertical="center"/>
    </xf>
    <xf numFmtId="0" fontId="0" fillId="7" borderId="1" xfId="0" quotePrefix="1" applyFill="1" applyBorder="1" applyAlignment="1">
      <alignment horizontal="left" vertical="top" wrapText="1"/>
    </xf>
    <xf numFmtId="0" fontId="2" fillId="0" borderId="0" xfId="0" applyAlignment="1">
      <alignment horizontal="center" vertical="center"/>
    </xf>
    <xf numFmtId="0" fontId="0" fillId="0" borderId="0" xfId="0" quotePrefix="1" applyBorder="1" applyAlignment="1">
      <alignment horizontal="center" vertical="center"/>
    </xf>
    <xf numFmtId="0" fontId="5" fillId="5" borderId="1" xfId="0" applyFill="1" applyBorder="1" applyAlignment="1">
      <alignment horizontal="center" vertical="center"/>
    </xf>
    <xf numFmtId="0" fontId="4" fillId="0" borderId="1" xfId="0" applyFill="1" applyBorder="1" applyAlignment="1">
      <alignment horizontal="center" vertical="center"/>
    </xf>
    <xf numFmtId="0" fontId="7" fillId="15" borderId="10" xfId="0" applyFill="1" applyBorder="1" applyAlignment="1">
      <alignment horizontal="center" vertical="center"/>
    </xf>
    <xf numFmtId="0" fontId="5" fillId="16" borderId="10" xfId="0" applyFill="1" applyBorder="1" applyAlignment="1">
      <alignment horizontal="center" vertical="center"/>
    </xf>
    <xf numFmtId="0" fontId="4" fillId="17" borderId="10" xfId="0" applyFill="1" applyBorder="1" applyAlignment="1">
      <alignment horizontal="center" vertical="center"/>
    </xf>
    <xf numFmtId="0" fontId="5" fillId="18" borderId="10" xfId="0" applyFill="1" applyBorder="1" applyAlignment="1">
      <alignment horizontal="center" vertical="center"/>
    </xf>
    <xf numFmtId="0" fontId="5" fillId="19" borderId="10" xfId="0" applyFill="1" applyBorder="1" applyAlignment="1">
      <alignment horizontal="center" vertical="center"/>
    </xf>
    <xf numFmtId="0" fontId="7" fillId="20" borderId="1" xfId="0" applyFill="1" applyBorder="1" applyAlignment="1">
      <alignment horizontal="center" vertical="center" wrapText="1"/>
    </xf>
    <xf numFmtId="9" fontId="8" fillId="14" borderId="1" xfId="0" applyNumberFormat="1" applyFill="1" applyBorder="1" applyAlignment="1">
      <alignment horizontal="center" vertical="center" wrapText="1"/>
    </xf>
    <xf numFmtId="9" fontId="0" fillId="0" borderId="1" xfId="0" applyNumberFormat="1" applyBorder="1" applyAlignment="1">
      <alignment horizontal="left" vertical="center"/>
    </xf>
    <xf numFmtId="9" fontId="0" fillId="0" borderId="0" xfId="0" applyNumberFormat="1">
      <alignment vertical="center"/>
    </xf>
    <xf numFmtId="0" fontId="4" fillId="21" borderId="1" xfId="0" applyFill="1" applyBorder="1" applyAlignment="1">
      <alignment horizontal="center" vertical="center"/>
    </xf>
    <xf numFmtId="9" fontId="0" fillId="0" borderId="1" xfId="0" applyNumberFormat="1" applyBorder="1" applyAlignment="1">
      <alignment horizontal="left" vertical="center" wrapText="1"/>
    </xf>
    <xf numFmtId="0" fontId="0" fillId="3" borderId="0" xfId="0" applyFill="1">
      <alignment vertical="center"/>
    </xf>
    <xf numFmtId="0" fontId="0" fillId="3" borderId="1" xfId="0" applyFill="1" applyBorder="1" applyAlignment="1">
      <alignment horizontal="center" vertical="center"/>
    </xf>
    <xf numFmtId="9" fontId="0" fillId="7" borderId="1" xfId="0" quotePrefix="1" applyNumberFormat="1" applyFill="1" applyBorder="1" applyAlignment="1">
      <alignment horizontal="center" vertical="center"/>
    </xf>
    <xf numFmtId="66" fontId="0" fillId="7" borderId="1" xfId="0" applyNumberFormat="1" applyFill="1" applyBorder="1" applyAlignment="1">
      <alignment horizontal="center" vertical="center"/>
    </xf>
    <xf numFmtId="9" fontId="0" fillId="6" borderId="1" xfId="0" quotePrefix="1" applyNumberFormat="1" applyFill="1" applyBorder="1" applyAlignment="1">
      <alignment horizontal="center" vertical="center"/>
    </xf>
    <xf numFmtId="9" fontId="0" fillId="6" borderId="1" xfId="0" applyNumberFormat="1" applyFill="1" applyBorder="1" applyAlignment="1">
      <alignment horizontal="center" vertical="center" wrapText="1"/>
    </xf>
    <xf numFmtId="0" fontId="0" fillId="6" borderId="1" xfId="0" applyFill="1" applyBorder="1" applyAlignment="1">
      <alignment horizontal="center" vertical="center"/>
    </xf>
    <xf numFmtId="49" fontId="0" fillId="7"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49" fontId="0" fillId="7" borderId="1" xfId="0" quotePrefix="1" applyNumberFormat="1" applyFill="1" applyBorder="1" applyAlignment="1">
      <alignment horizontal="center" vertical="center"/>
    </xf>
    <xf numFmtId="0" fontId="4" fillId="6" borderId="1" xfId="0" applyFill="1" applyBorder="1" applyAlignment="1">
      <alignment horizontal="center" vertical="center"/>
    </xf>
    <xf numFmtId="0" fontId="0" fillId="22" borderId="1" xfId="0" applyFill="1" applyBorder="1" applyAlignment="1">
      <alignment horizontal="center" vertical="center"/>
    </xf>
    <xf numFmtId="0" fontId="4" fillId="22" borderId="1" xfId="0" applyFill="1" applyBorder="1" applyAlignment="1">
      <alignment horizontal="center" vertical="center"/>
    </xf>
    <xf numFmtId="0" fontId="0" fillId="22" borderId="1" xfId="0" quotePrefix="1" applyFill="1" applyBorder="1" applyAlignment="1">
      <alignment horizontal="left" vertical="center" wrapText="1"/>
    </xf>
    <xf numFmtId="0" fontId="0" fillId="22" borderId="1" xfId="0" applyFill="1" applyBorder="1" applyAlignment="1">
      <alignment horizontal="center" vertical="center" wrapText="1"/>
    </xf>
    <xf numFmtId="49" fontId="0" fillId="6" borderId="1" xfId="0" applyNumberFormat="1" applyFill="1" applyBorder="1" applyAlignment="1">
      <alignment horizontal="center" vertical="center" wrapText="1"/>
    </xf>
    <xf numFmtId="49" fontId="0" fillId="6" borderId="1" xfId="0" quotePrefix="1" applyNumberFormat="1" applyFill="1" applyBorder="1" applyAlignment="1">
      <alignment horizontal="center" vertical="center"/>
    </xf>
    <xf numFmtId="0" fontId="4" fillId="5" borderId="12" xfId="0" applyFill="1" applyBorder="1" applyAlignment="1">
      <alignment horizontal="center" vertical="center"/>
    </xf>
    <xf numFmtId="0" fontId="0" fillId="7" borderId="12" xfId="0" applyFill="1" applyBorder="1" applyAlignment="1">
      <alignment horizontal="center" vertical="center"/>
    </xf>
    <xf numFmtId="0" fontId="4" fillId="7" borderId="12" xfId="0" applyFill="1" applyBorder="1" applyAlignment="1">
      <alignment horizontal="center" vertical="center"/>
    </xf>
    <xf numFmtId="0" fontId="4" fillId="23" borderId="1" xfId="0" applyFill="1" applyBorder="1" applyAlignment="1">
      <alignment horizontal="center" vertical="center"/>
    </xf>
    <xf numFmtId="0" fontId="0" fillId="0" borderId="10" xfId="0" applyBorder="1">
      <alignment vertical="center"/>
    </xf>
    <xf numFmtId="176" fontId="0" fillId="10" borderId="1" xfId="0" applyNumberFormat="1" applyFill="1" applyBorder="1" applyAlignment="1">
      <alignment horizontal="center" vertical="center"/>
    </xf>
    <xf numFmtId="0" fontId="7" fillId="11" borderId="1" xfId="0" applyFill="1" applyBorder="1" applyAlignment="1">
      <alignment horizontal="center" vertical="center"/>
    </xf>
    <xf numFmtId="0" fontId="8" fillId="21" borderId="1" xfId="0" applyFill="1" applyBorder="1" applyAlignment="1">
      <alignment horizontal="center" vertical="center"/>
    </xf>
    <xf numFmtId="0" fontId="8" fillId="4" borderId="1" xfId="0" applyFill="1" applyBorder="1" applyAlignment="1">
      <alignment horizontal="center" vertical="center"/>
    </xf>
    <xf numFmtId="0" fontId="4" fillId="7" borderId="0" xfId="0" applyFill="1">
      <alignment vertical="center"/>
    </xf>
    <xf numFmtId="0" fontId="4" fillId="8" borderId="0" xfId="0" applyFill="1" applyBorder="1" applyAlignment="1">
      <alignment horizontal="center" vertical="center"/>
    </xf>
    <xf numFmtId="0" fontId="0" fillId="23" borderId="1" xfId="0" applyFill="1" applyBorder="1" applyAlignment="1">
      <alignment horizontal="center" vertical="center"/>
    </xf>
    <xf numFmtId="0" fontId="0" fillId="6" borderId="1" xfId="0" quotePrefix="1" applyFill="1" applyBorder="1" applyAlignment="1">
      <alignment horizontal="left" vertical="center" wrapText="1"/>
    </xf>
    <xf numFmtId="0" fontId="8" fillId="10" borderId="1" xfId="0" applyFill="1" applyBorder="1" applyAlignment="1">
      <alignment horizontal="center" vertical="center"/>
    </xf>
    <xf numFmtId="0" fontId="4" fillId="10" borderId="1" xfId="0" applyFill="1" applyBorder="1" applyAlignment="1">
      <alignment horizontal="center" vertical="center"/>
    </xf>
    <xf numFmtId="0" fontId="8" fillId="23" borderId="1" xfId="0" applyFill="1" applyBorder="1" applyAlignment="1">
      <alignment horizontal="center" vertical="center"/>
    </xf>
    <xf numFmtId="0" fontId="8" fillId="7" borderId="1" xfId="0" applyFill="1" applyBorder="1" applyAlignment="1">
      <alignment horizontal="center" vertical="center"/>
    </xf>
    <xf numFmtId="0" fontId="8" fillId="22" borderId="1" xfId="0" applyFill="1" applyBorder="1" applyAlignment="1">
      <alignment horizontal="center" vertical="center"/>
    </xf>
    <xf numFmtId="0" fontId="0" fillId="22" borderId="0" xfId="0" applyFill="1" applyBorder="1" applyAlignment="1">
      <alignment horizontal="center" vertical="center"/>
    </xf>
    <xf numFmtId="0" fontId="4" fillId="22" borderId="0" xfId="0" applyFill="1" applyBorder="1" applyAlignment="1">
      <alignment horizontal="center" vertical="center"/>
    </xf>
    <xf numFmtId="0" fontId="29" fillId="22" borderId="1" xfId="0" applyFill="1" applyBorder="1" applyAlignment="1">
      <alignment horizontal="center" vertical="center"/>
    </xf>
    <xf numFmtId="0" fontId="29" fillId="52" borderId="1" xfId="0" applyFill="1" applyBorder="1" applyAlignment="1">
      <alignment horizontal="center" vertical="center"/>
    </xf>
    <xf numFmtId="0" fontId="8" fillId="52" borderId="1" xfId="0" applyFill="1" applyBorder="1" applyAlignment="1">
      <alignment horizontal="center" vertical="center"/>
    </xf>
    <xf numFmtId="0" fontId="4" fillId="52" borderId="1" xfId="0" applyFill="1" applyBorder="1" applyAlignment="1">
      <alignment horizontal="center" vertical="center"/>
    </xf>
    <xf numFmtId="0" fontId="8" fillId="8" borderId="1" xfId="0" applyFill="1" applyBorder="1" applyAlignment="1">
      <alignment horizontal="center" vertical="center"/>
    </xf>
    <xf numFmtId="0" fontId="4" fillId="10" borderId="0" xfId="0" applyFill="1" applyBorder="1" applyAlignment="1">
      <alignment horizontal="center" vertical="center"/>
    </xf>
    <xf numFmtId="0" fontId="0" fillId="7" borderId="1" xfId="0" applyFill="1" applyBorder="1">
      <alignment vertical="center"/>
    </xf>
    <xf numFmtId="186" fontId="30" fillId="0" borderId="0" xfId="0" applyNumberFormat="1" applyFill="1" applyBorder="1" applyAlignment="1">
      <alignment vertical="center"/>
    </xf>
    <xf numFmtId="186" fontId="31" fillId="0" borderId="0" xfId="0" applyNumberFormat="1" applyFill="1" applyBorder="1" applyAlignment="1">
      <alignment horizontal="center" vertical="center"/>
    </xf>
    <xf numFmtId="186" fontId="32" fillId="0" borderId="0" xfId="0" applyNumberFormat="1" applyFill="1" applyBorder="1" applyAlignment="1">
      <alignment horizontal="center" vertical="center"/>
    </xf>
    <xf numFmtId="0" fontId="4" fillId="7" borderId="0" xfId="0" applyFill="1" applyBorder="1">
      <alignment vertical="center"/>
    </xf>
    <xf numFmtId="0" fontId="4" fillId="8" borderId="12" xfId="0" applyFill="1" applyBorder="1" applyAlignment="1">
      <alignment horizontal="center" vertical="center"/>
    </xf>
    <xf numFmtId="0" fontId="4" fillId="7" borderId="12" xfId="0" applyFill="1" applyBorder="1">
      <alignment vertical="center"/>
    </xf>
    <xf numFmtId="0" fontId="4" fillId="21" borderId="12" xfId="0" applyFill="1" applyBorder="1" applyAlignment="1">
      <alignment horizontal="center" vertical="center"/>
    </xf>
    <xf numFmtId="0" fontId="4" fillId="0" borderId="12" xfId="0" applyBorder="1">
      <alignment vertical="center"/>
    </xf>
    <xf numFmtId="0" fontId="4" fillId="0" borderId="1" xfId="0" applyBorder="1" applyAlignment="1">
      <alignment vertical="center"/>
    </xf>
    <xf numFmtId="0" fontId="4" fillId="0" borderId="1" xfId="0" applyFill="1" applyBorder="1" applyAlignment="1">
      <alignment vertical="center"/>
    </xf>
    <xf numFmtId="0" fontId="4" fillId="0" borderId="0" xfId="0" applyFill="1" applyBorder="1" applyAlignment="1">
      <alignment vertical="center"/>
    </xf>
    <xf numFmtId="0" fontId="4" fillId="0" borderId="12" xfId="0" applyBorder="1" applyAlignment="1">
      <alignment horizontal="center" vertical="center"/>
    </xf>
    <xf numFmtId="0" fontId="4" fillId="0" borderId="12" xfId="0" applyFill="1" applyBorder="1" applyAlignment="1">
      <alignment vertical="center"/>
    </xf>
    <xf numFmtId="0" fontId="4" fillId="0" borderId="22" xfId="0" applyBorder="1" applyAlignment="1">
      <alignment horizontal="center" vertical="center"/>
    </xf>
    <xf numFmtId="0" fontId="4" fillId="5" borderId="0" xfId="0" applyFill="1" applyBorder="1" applyAlignment="1">
      <alignment horizontal="center" vertical="center" wrapText="1"/>
    </xf>
    <xf numFmtId="0" fontId="4" fillId="7" borderId="23" xfId="0" applyFill="1" applyBorder="1" applyAlignment="1">
      <alignment horizontal="center" vertical="center"/>
    </xf>
    <xf numFmtId="0" fontId="4" fillId="7" borderId="22" xfId="0" applyFill="1" applyBorder="1" applyAlignment="1">
      <alignment horizontal="center" vertical="center"/>
    </xf>
    <xf numFmtId="0" fontId="4" fillId="15" borderId="23" xfId="0" applyFill="1" applyBorder="1" applyAlignment="1">
      <alignment horizontal="center" vertical="center"/>
    </xf>
    <xf numFmtId="0" fontId="4" fillId="15" borderId="22" xfId="0" applyFill="1" applyBorder="1" applyAlignment="1">
      <alignment horizontal="center" vertical="center"/>
    </xf>
    <xf numFmtId="0" fontId="5" fillId="15" borderId="23" xfId="0" applyFill="1" applyBorder="1" applyAlignment="1">
      <alignment horizontal="center" vertical="center"/>
    </xf>
    <xf numFmtId="0" fontId="5" fillId="15" borderId="22" xfId="0" applyFill="1" applyBorder="1" applyAlignment="1">
      <alignment horizontal="center" vertical="center"/>
    </xf>
    <xf numFmtId="0" fontId="4" fillId="7" borderId="24" xfId="0" applyFill="1" applyBorder="1" applyAlignment="1">
      <alignment horizontal="center" vertical="center"/>
    </xf>
    <xf numFmtId="0" fontId="5" fillId="7" borderId="23" xfId="0" applyFill="1" applyBorder="1" applyAlignment="1">
      <alignment horizontal="center" vertical="center"/>
    </xf>
    <xf numFmtId="0" fontId="5" fillId="7" borderId="24" xfId="0" applyFill="1" applyBorder="1" applyAlignment="1">
      <alignment horizontal="center" vertical="center"/>
    </xf>
    <xf numFmtId="0" fontId="5" fillId="7" borderId="22" xfId="0" applyFill="1" applyBorder="1" applyAlignment="1">
      <alignment horizontal="center" vertical="center"/>
    </xf>
    <xf numFmtId="0" fontId="5" fillId="16" borderId="23" xfId="0" applyFill="1" applyBorder="1" applyAlignment="1">
      <alignment horizontal="center" vertical="center"/>
    </xf>
    <xf numFmtId="0" fontId="5" fillId="16" borderId="24" xfId="0" applyFill="1" applyBorder="1" applyAlignment="1">
      <alignment horizontal="center" vertical="center"/>
    </xf>
    <xf numFmtId="0" fontId="5" fillId="16" borderId="22" xfId="0"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4" fillId="0" borderId="25" xfId="0" applyBorder="1" applyAlignment="1">
      <alignment horizontal="center" vertical="center"/>
    </xf>
    <xf numFmtId="0" fontId="4" fillId="0" borderId="26" xfId="0" applyBorder="1" applyAlignment="1">
      <alignment horizontal="center" vertical="center"/>
    </xf>
    <xf numFmtId="0" fontId="4" fillId="14" borderId="25" xfId="0" applyFill="1" applyBorder="1" applyAlignment="1">
      <alignment horizontal="center" vertical="center"/>
    </xf>
    <xf numFmtId="0" fontId="4" fillId="14" borderId="26" xfId="0" applyFill="1" applyBorder="1" applyAlignment="1">
      <alignment horizontal="center" vertical="center"/>
    </xf>
    <xf numFmtId="0" fontId="5" fillId="5" borderId="23" xfId="0" applyFill="1" applyBorder="1" applyAlignment="1">
      <alignment horizontal="center" vertical="center"/>
    </xf>
    <xf numFmtId="0" fontId="5" fillId="5" borderId="24" xfId="0" applyFill="1" applyBorder="1" applyAlignment="1">
      <alignment horizontal="center" vertical="center"/>
    </xf>
    <xf numFmtId="0" fontId="5" fillId="5" borderId="22" xfId="0" applyFill="1" applyBorder="1" applyAlignment="1">
      <alignment horizontal="center" vertical="center"/>
    </xf>
    <xf numFmtId="0" fontId="5" fillId="52" borderId="23" xfId="0" applyFill="1" applyBorder="1" applyAlignment="1">
      <alignment horizontal="center" vertical="center"/>
    </xf>
    <xf numFmtId="0" fontId="5" fillId="52" borderId="24" xfId="0" applyFill="1" applyBorder="1" applyAlignment="1">
      <alignment horizontal="center" vertical="center"/>
    </xf>
    <xf numFmtId="0" fontId="5" fillId="52" borderId="22" xfId="0" applyFill="1" applyBorder="1" applyAlignment="1">
      <alignment horizontal="center" vertical="center"/>
    </xf>
    <xf numFmtId="0" fontId="5" fillId="15" borderId="1" xfId="0" applyFill="1" applyBorder="1" applyAlignment="1">
      <alignment horizontal="center" vertical="center"/>
    </xf>
    <xf numFmtId="0" fontId="5" fillId="16" borderId="1" xfId="0" applyFill="1" applyBorder="1" applyAlignment="1">
      <alignment horizontal="center" vertical="center"/>
    </xf>
    <xf numFmtId="0" fontId="4" fillId="14" borderId="1" xfId="0" applyFill="1" applyBorder="1" applyAlignment="1">
      <alignment horizontal="center" vertical="center"/>
    </xf>
    <xf numFmtId="0" fontId="5" fillId="52" borderId="1" xfId="0" applyFill="1" applyBorder="1" applyAlignment="1">
      <alignment horizontal="center" vertical="center"/>
    </xf>
    <xf numFmtId="0" fontId="5" fillId="16" borderId="2" xfId="0" applyFill="1" applyBorder="1" applyAlignment="1">
      <alignment horizontal="center" vertical="center"/>
    </xf>
    <xf numFmtId="0" fontId="4" fillId="5" borderId="27" xfId="0" applyFill="1" applyBorder="1" applyAlignment="1">
      <alignment horizontal="center" vertical="center"/>
    </xf>
    <xf numFmtId="0" fontId="4" fillId="7" borderId="27" xfId="0" applyFill="1" applyBorder="1" applyAlignment="1">
      <alignment horizontal="center" vertical="center"/>
    </xf>
    <xf numFmtId="0" fontId="4" fillId="7" borderId="3" xfId="0" applyFill="1" applyBorder="1" applyAlignment="1">
      <alignment horizontal="center" vertical="center"/>
    </xf>
    <xf numFmtId="0" fontId="5" fillId="16" borderId="4" xfId="0" applyFill="1" applyBorder="1" applyAlignment="1">
      <alignment horizontal="center" vertical="center"/>
    </xf>
    <xf numFmtId="0" fontId="4" fillId="7" borderId="5" xfId="0" applyFill="1" applyBorder="1" applyAlignment="1">
      <alignment horizontal="center" vertical="center"/>
    </xf>
    <xf numFmtId="0" fontId="5" fillId="16" borderId="6" xfId="0" applyFill="1" applyBorder="1" applyAlignment="1">
      <alignment horizontal="center" vertical="center"/>
    </xf>
    <xf numFmtId="0" fontId="4" fillId="5" borderId="28" xfId="0" applyFill="1" applyBorder="1" applyAlignment="1">
      <alignment horizontal="center" vertical="center"/>
    </xf>
    <xf numFmtId="0" fontId="4" fillId="7" borderId="28" xfId="0" applyFill="1" applyBorder="1" applyAlignment="1">
      <alignment horizontal="center" vertical="center"/>
    </xf>
    <xf numFmtId="0" fontId="4" fillId="7" borderId="7" xfId="0" applyFill="1" applyBorder="1" applyAlignment="1">
      <alignment horizontal="center" vertical="center"/>
    </xf>
    <xf numFmtId="0" fontId="4" fillId="5" borderId="23" xfId="0" applyFill="1" applyBorder="1" applyAlignment="1">
      <alignment horizontal="center" vertical="center"/>
    </xf>
    <xf numFmtId="0" fontId="4" fillId="14" borderId="22" xfId="0" applyFill="1" applyBorder="1" applyAlignment="1">
      <alignment horizontal="center" vertical="center"/>
    </xf>
    <xf numFmtId="0" fontId="4" fillId="5" borderId="22" xfId="0" applyFill="1" applyBorder="1" applyAlignment="1">
      <alignment horizontal="center" vertical="center"/>
    </xf>
    <xf numFmtId="0" fontId="4" fillId="8" borderId="2" xfId="0" applyFill="1" applyBorder="1" applyAlignment="1">
      <alignment horizontal="center" vertical="center"/>
    </xf>
    <xf numFmtId="0" fontId="4" fillId="8" borderId="27" xfId="0" applyFill="1" applyBorder="1" applyAlignment="1">
      <alignment horizontal="center" vertical="center"/>
    </xf>
    <xf numFmtId="0" fontId="4" fillId="8" borderId="3" xfId="0" applyFill="1" applyBorder="1" applyAlignment="1">
      <alignment horizontal="center" vertical="center"/>
    </xf>
    <xf numFmtId="0" fontId="5" fillId="15" borderId="4" xfId="0" applyFill="1" applyBorder="1" applyAlignment="1">
      <alignment horizontal="center" vertical="center"/>
    </xf>
    <xf numFmtId="0" fontId="5" fillId="15" borderId="8" xfId="0" applyFill="1" applyBorder="1" applyAlignment="1">
      <alignment horizontal="center" vertical="center"/>
    </xf>
    <xf numFmtId="0" fontId="4" fillId="7" borderId="9" xfId="0" applyFill="1" applyBorder="1" applyAlignment="1">
      <alignment horizontal="center" vertical="center"/>
    </xf>
    <xf numFmtId="0" fontId="4" fillId="14" borderId="29" xfId="0" applyFill="1" applyBorder="1" applyAlignment="1">
      <alignment horizontal="center" vertical="center"/>
    </xf>
    <xf numFmtId="0" fontId="4" fillId="7" borderId="30" xfId="0" applyFill="1" applyBorder="1" applyAlignment="1">
      <alignment horizontal="center" vertical="center"/>
    </xf>
    <xf numFmtId="0" fontId="4" fillId="14" borderId="4" xfId="0" applyFill="1" applyBorder="1" applyAlignment="1">
      <alignment horizontal="center" vertical="center"/>
    </xf>
    <xf numFmtId="0" fontId="5" fillId="52" borderId="4" xfId="0" applyFill="1" applyBorder="1" applyAlignment="1">
      <alignment horizontal="center" vertical="center"/>
    </xf>
    <xf numFmtId="0" fontId="5" fillId="52" borderId="6" xfId="0" applyFill="1" applyBorder="1" applyAlignment="1">
      <alignment horizontal="center" vertical="center"/>
    </xf>
    <xf numFmtId="0" fontId="4" fillId="7" borderId="28" xfId="0" applyFill="1" applyBorder="1">
      <alignment vertical="center"/>
    </xf>
    <xf numFmtId="0" fontId="4" fillId="14" borderId="2" xfId="0" applyFill="1" applyBorder="1" applyAlignment="1">
      <alignment horizontal="center" vertical="center"/>
    </xf>
    <xf numFmtId="0" fontId="4" fillId="14" borderId="6" xfId="0" applyFill="1" applyBorder="1" applyAlignment="1">
      <alignment horizontal="center" vertical="center"/>
    </xf>
    <xf numFmtId="0" fontId="5" fillId="52" borderId="29" xfId="0" applyFill="1" applyBorder="1" applyAlignment="1">
      <alignment horizontal="center" vertical="center"/>
    </xf>
    <xf numFmtId="0" fontId="4" fillId="7" borderId="22" xfId="0" applyFill="1" applyBorder="1">
      <alignment vertical="center"/>
    </xf>
    <xf numFmtId="0" fontId="0" fillId="0" borderId="0" xfId="0" applyAlignment="1">
      <alignment vertical="center"/>
    </xf>
    <xf numFmtId="0" fontId="4" fillId="0" borderId="0" xfId="0" applyAlignment="1">
      <alignment horizontal="right" vertical="center"/>
    </xf>
    <xf numFmtId="0" fontId="0" fillId="5" borderId="0" xfId="0" applyFill="1" applyBorder="1">
      <alignment vertical="center"/>
    </xf>
    <xf numFmtId="0" fontId="0" fillId="5" borderId="1" xfId="0" applyFill="1" applyBorder="1">
      <alignment vertical="center"/>
    </xf>
    <xf numFmtId="0" fontId="4" fillId="8" borderId="31" xfId="0" applyFill="1" applyBorder="1" applyAlignment="1">
      <alignment horizontal="center" vertical="center"/>
    </xf>
    <xf numFmtId="0" fontId="5" fillId="15" borderId="10" xfId="0" applyFill="1" applyBorder="1" applyAlignment="1">
      <alignment horizontal="center" vertical="center"/>
    </xf>
    <xf numFmtId="0" fontId="5" fillId="15" borderId="25" xfId="0" applyFill="1" applyBorder="1" applyAlignment="1">
      <alignment horizontal="center" vertical="center"/>
    </xf>
    <xf numFmtId="0" fontId="4" fillId="8" borderId="32" xfId="0" applyFill="1" applyBorder="1" applyAlignment="1">
      <alignment horizontal="center" vertical="center"/>
    </xf>
    <xf numFmtId="0" fontId="4" fillId="7" borderId="32" xfId="0" applyFill="1" applyBorder="1" applyAlignment="1">
      <alignment horizontal="center" vertical="center"/>
    </xf>
    <xf numFmtId="0" fontId="4" fillId="8" borderId="33" xfId="0" applyFill="1" applyBorder="1" applyAlignment="1">
      <alignment horizontal="center" vertical="center"/>
    </xf>
    <xf numFmtId="0" fontId="4" fillId="7" borderId="33" xfId="0" applyFill="1" applyBorder="1" applyAlignment="1">
      <alignment horizontal="center" vertical="center"/>
    </xf>
    <xf numFmtId="0" fontId="5" fillId="15" borderId="2" xfId="0" applyFill="1" applyBorder="1" applyAlignment="1">
      <alignment horizontal="center" vertical="center"/>
    </xf>
    <xf numFmtId="0" fontId="4" fillId="7" borderId="27" xfId="0" applyFill="1" applyBorder="1">
      <alignment vertical="center"/>
    </xf>
    <xf numFmtId="0" fontId="5" fillId="15" borderId="6" xfId="0" applyFill="1" applyBorder="1" applyAlignment="1">
      <alignment horizontal="center" vertical="center"/>
    </xf>
    <xf numFmtId="0" fontId="4" fillId="8" borderId="34" xfId="0" applyFill="1" applyBorder="1" applyAlignment="1">
      <alignment horizontal="center" vertical="center"/>
    </xf>
    <xf numFmtId="0" fontId="4" fillId="8" borderId="35" xfId="0" applyFill="1" applyBorder="1" applyAlignment="1">
      <alignment horizontal="center" vertical="center"/>
    </xf>
    <xf numFmtId="0" fontId="4" fillId="8" borderId="36" xfId="0" applyFill="1" applyBorder="1" applyAlignment="1">
      <alignment horizontal="center" vertical="center"/>
    </xf>
    <xf numFmtId="0" fontId="5" fillId="5" borderId="2" xfId="0" applyFill="1" applyBorder="1" applyAlignment="1">
      <alignment horizontal="center" vertical="center"/>
    </xf>
    <xf numFmtId="0" fontId="0" fillId="0" borderId="5" xfId="0" applyBorder="1" applyAlignment="1">
      <alignment horizontal="left" vertical="center" wrapText="1"/>
    </xf>
    <xf numFmtId="0" fontId="0" fillId="7" borderId="4" xfId="0" applyFill="1" applyBorder="1" applyAlignment="1">
      <alignment horizontal="center" vertical="center"/>
    </xf>
    <xf numFmtId="0" fontId="8" fillId="22" borderId="28" xfId="0" applyFill="1"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vertical="center" wrapText="1"/>
    </xf>
    <xf numFmtId="0" fontId="4" fillId="0" borderId="28" xfId="0" applyBorder="1" applyAlignment="1">
      <alignment horizontal="center" vertical="center"/>
    </xf>
    <xf numFmtId="9" fontId="0" fillId="0" borderId="28" xfId="0" applyNumberFormat="1" applyBorder="1" applyAlignment="1">
      <alignment horizontal="center" vertical="center"/>
    </xf>
    <xf numFmtId="0" fontId="0" fillId="0" borderId="7" xfId="0" applyBorder="1" applyAlignment="1">
      <alignment horizontal="left" vertical="center" wrapText="1"/>
    </xf>
    <xf numFmtId="0" fontId="8" fillId="5" borderId="27" xfId="0" applyFill="1" applyBorder="1" applyAlignment="1">
      <alignment horizontal="center" vertical="center"/>
    </xf>
    <xf numFmtId="0" fontId="8" fillId="5" borderId="3" xfId="0" applyFill="1" applyBorder="1" applyAlignment="1">
      <alignment horizontal="center" vertical="center"/>
    </xf>
    <xf numFmtId="0" fontId="34" fillId="0" borderId="1" xfId="0" applyBorder="1" applyAlignment="1">
      <alignment horizontal="center" vertical="center"/>
    </xf>
    <xf numFmtId="0" fontId="34" fillId="7" borderId="1" xfId="0" applyFill="1" applyBorder="1" applyAlignment="1">
      <alignment horizontal="center" vertical="center"/>
    </xf>
    <xf numFmtId="0" fontId="34" fillId="0" borderId="4" xfId="0" applyBorder="1" applyAlignment="1">
      <alignment horizontal="center" vertical="center"/>
    </xf>
    <xf numFmtId="0" fontId="34" fillId="7" borderId="4" xfId="0" applyFill="1" applyBorder="1" applyAlignment="1">
      <alignment horizontal="center" vertical="center"/>
    </xf>
    <xf numFmtId="0" fontId="34" fillId="0" borderId="6" xfId="0" applyBorder="1" applyAlignment="1">
      <alignment horizontal="center" vertical="center"/>
    </xf>
    <xf numFmtId="0" fontId="33" fillId="0" borderId="4" xfId="0" applyBorder="1" applyAlignment="1">
      <alignment horizontal="center" vertical="center"/>
    </xf>
    <xf numFmtId="0" fontId="33" fillId="7" borderId="4" xfId="0" applyFill="1" applyBorder="1" applyAlignment="1">
      <alignment horizontal="center" vertical="center"/>
    </xf>
    <xf numFmtId="0" fontId="33" fillId="0" borderId="6" xfId="0" applyBorder="1" applyAlignment="1">
      <alignment horizontal="center" vertical="center"/>
    </xf>
    <xf numFmtId="0" fontId="35" fillId="5" borderId="27" xfId="0" applyFill="1" applyBorder="1" applyAlignment="1">
      <alignment horizontal="center" vertical="center"/>
    </xf>
    <xf numFmtId="0" fontId="35" fillId="5" borderId="3" xfId="0" applyFill="1" applyBorder="1" applyAlignment="1">
      <alignment horizontal="center" vertical="center"/>
    </xf>
    <xf numFmtId="0" fontId="8" fillId="5" borderId="1" xfId="0" applyFill="1" applyBorder="1" applyAlignment="1">
      <alignment horizontal="center" vertical="center"/>
    </xf>
    <xf numFmtId="0" fontId="35" fillId="5" borderId="1" xfId="0" applyFill="1" applyBorder="1" applyAlignment="1">
      <alignment horizontal="center" vertical="center"/>
    </xf>
    <xf numFmtId="0" fontId="33" fillId="0" borderId="1" xfId="0" applyBorder="1" applyAlignment="1">
      <alignment horizontal="center" vertical="center"/>
    </xf>
    <xf numFmtId="0" fontId="33" fillId="7" borderId="1" xfId="0" applyFill="1" applyBorder="1" applyAlignment="1">
      <alignment horizontal="center" vertical="center"/>
    </xf>
    <xf numFmtId="0" fontId="8" fillId="0" borderId="1" xfId="0" applyBorder="1" applyAlignment="1">
      <alignment horizontal="center" vertical="center"/>
    </xf>
    <xf numFmtId="9" fontId="34" fillId="0" borderId="1" xfId="0" applyNumberFormat="1" applyBorder="1" applyAlignment="1">
      <alignment horizontal="center" vertical="center"/>
    </xf>
    <xf numFmtId="9" fontId="34" fillId="0" borderId="1" xfId="0" applyNumberFormat="1" applyBorder="1" applyAlignment="1">
      <alignment horizontal="left" vertical="center"/>
    </xf>
    <xf numFmtId="9" fontId="34" fillId="0" borderId="1" xfId="0" applyNumberFormat="1" applyBorder="1" applyAlignment="1">
      <alignment horizontal="left" vertical="center" wrapText="1"/>
    </xf>
    <xf numFmtId="0" fontId="35" fillId="22" borderId="1" xfId="0" applyFill="1" applyBorder="1" applyAlignment="1">
      <alignment horizontal="center" vertical="center"/>
    </xf>
    <xf numFmtId="0" fontId="35" fillId="0" borderId="1" xfId="0" applyBorder="1" applyAlignment="1">
      <alignment horizontal="center" vertical="center"/>
    </xf>
    <xf numFmtId="9" fontId="33" fillId="0" borderId="1" xfId="0" applyNumberFormat="1" applyBorder="1" applyAlignment="1">
      <alignment horizontal="center" vertical="center"/>
    </xf>
    <xf numFmtId="9" fontId="33" fillId="0" borderId="1" xfId="0" applyNumberFormat="1" applyBorder="1" applyAlignment="1">
      <alignment horizontal="left" vertical="center"/>
    </xf>
    <xf numFmtId="9" fontId="33" fillId="0" borderId="1" xfId="0" applyNumberFormat="1" applyBorder="1" applyAlignment="1">
      <alignment horizontal="left" vertical="center" wrapText="1"/>
    </xf>
    <xf numFmtId="0" fontId="34" fillId="0" borderId="1" xfId="0" applyBorder="1" applyAlignment="1">
      <alignment horizontal="center" vertical="center" wrapText="1"/>
    </xf>
    <xf numFmtId="0" fontId="34" fillId="0" borderId="28" xfId="0" applyBorder="1" applyAlignment="1">
      <alignment horizontal="center" vertical="center"/>
    </xf>
    <xf numFmtId="0" fontId="34" fillId="0" borderId="28" xfId="0" applyBorder="1" applyAlignment="1">
      <alignment horizontal="center" vertical="center" wrapText="1"/>
    </xf>
    <xf numFmtId="0" fontId="8" fillId="0" borderId="28" xfId="0" applyBorder="1" applyAlignment="1">
      <alignment horizontal="center" vertical="center"/>
    </xf>
    <xf numFmtId="9" fontId="34" fillId="0" borderId="28" xfId="0" applyNumberFormat="1" applyBorder="1" applyAlignment="1">
      <alignment horizontal="center" vertical="center"/>
    </xf>
    <xf numFmtId="0" fontId="33" fillId="0" borderId="1" xfId="0" applyBorder="1" applyAlignment="1">
      <alignment horizontal="center" vertical="center" wrapText="1"/>
    </xf>
    <xf numFmtId="0" fontId="35" fillId="22" borderId="28" xfId="0" applyFill="1" applyBorder="1" applyAlignment="1">
      <alignment horizontal="center" vertical="center"/>
    </xf>
    <xf numFmtId="0" fontId="33" fillId="0" borderId="28" xfId="0" applyBorder="1" applyAlignment="1">
      <alignment horizontal="center" vertical="center"/>
    </xf>
    <xf numFmtId="0" fontId="33" fillId="0" borderId="28" xfId="0" applyBorder="1" applyAlignment="1">
      <alignment horizontal="center" vertical="center" wrapText="1"/>
    </xf>
    <xf numFmtId="0" fontId="35" fillId="0" borderId="28" xfId="0" applyBorder="1" applyAlignment="1">
      <alignment horizontal="center" vertical="center"/>
    </xf>
    <xf numFmtId="9" fontId="33" fillId="0" borderId="28" xfId="0" applyNumberFormat="1" applyBorder="1" applyAlignment="1">
      <alignment horizontal="center" vertical="center"/>
    </xf>
    <xf numFmtId="0" fontId="36" fillId="11" borderId="1" xfId="0" applyFill="1" applyBorder="1" applyAlignment="1">
      <alignment horizontal="center" vertical="center"/>
    </xf>
    <xf numFmtId="0" fontId="7" fillId="5" borderId="1" xfId="0" applyFill="1" applyBorder="1" applyAlignment="1">
      <alignment horizontal="center" vertical="center"/>
    </xf>
    <xf numFmtId="0" fontId="36" fillId="5" borderId="1" xfId="0" applyFill="1" applyBorder="1" applyAlignment="1">
      <alignment horizontal="center" vertical="center"/>
    </xf>
    <xf numFmtId="0" fontId="36" fillId="5" borderId="2" xfId="0" applyFill="1" applyBorder="1" applyAlignment="1">
      <alignment horizontal="center" vertical="center"/>
    </xf>
    <xf numFmtId="0" fontId="0" fillId="0" borderId="37" xfId="0" applyBorder="1" applyAlignment="1">
      <alignment horizontal="center" vertical="center"/>
    </xf>
    <xf numFmtId="0" fontId="36" fillId="11" borderId="28" xfId="0" applyFill="1" applyBorder="1" applyAlignment="1">
      <alignment horizontal="center" vertical="center"/>
    </xf>
    <xf numFmtId="0" fontId="0" fillId="0" borderId="38" xfId="0" applyBorder="1" applyAlignment="1">
      <alignment horizontal="center" vertical="center"/>
    </xf>
    <xf numFmtId="0" fontId="4" fillId="5" borderId="39" xfId="0" applyFill="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11" xfId="0" applyBorder="1">
      <alignment vertical="center"/>
    </xf>
    <xf numFmtId="9" fontId="0" fillId="0" borderId="5" xfId="0" applyNumberFormat="1" applyBorder="1" applyAlignment="1">
      <alignment horizontal="left" vertical="center"/>
    </xf>
    <xf numFmtId="9" fontId="0" fillId="0" borderId="5" xfId="0" applyNumberFormat="1" applyBorder="1" applyAlignment="1">
      <alignment horizontal="left" vertical="center" wrapText="1"/>
    </xf>
    <xf numFmtId="9" fontId="0" fillId="0" borderId="7" xfId="0" applyNumberFormat="1" applyBorder="1" applyAlignment="1">
      <alignment horizontal="left" vertical="center"/>
    </xf>
    <xf numFmtId="0" fontId="8" fillId="5" borderId="39" xfId="0" applyFill="1" applyBorder="1" applyAlignment="1">
      <alignment horizontal="center" vertical="center"/>
    </xf>
    <xf numFmtId="0" fontId="35" fillId="5" borderId="39" xfId="0" applyFill="1" applyBorder="1" applyAlignment="1">
      <alignment horizontal="center" vertical="center"/>
    </xf>
    <xf numFmtId="0" fontId="35" fillId="5" borderId="42" xfId="0" applyFill="1" applyBorder="1" applyAlignment="1">
      <alignment horizontal="center" vertical="center"/>
    </xf>
    <xf numFmtId="0" fontId="0" fillId="0" borderId="43" xfId="0" applyBorder="1" applyAlignment="1">
      <alignment horizontal="center" vertical="center"/>
    </xf>
    <xf numFmtId="0" fontId="34" fillId="5" borderId="1" xfId="0" applyFill="1" applyBorder="1">
      <alignment vertical="center"/>
    </xf>
    <xf numFmtId="0" fontId="33" fillId="5" borderId="1" xfId="0" applyFill="1" applyBorder="1">
      <alignment vertical="center"/>
    </xf>
    <xf numFmtId="0" fontId="8" fillId="8" borderId="35" xfId="0" applyFill="1" applyBorder="1" applyAlignment="1">
      <alignment horizontal="center" vertical="center"/>
    </xf>
    <xf numFmtId="0" fontId="8" fillId="8" borderId="36" xfId="0" applyFill="1" applyBorder="1" applyAlignment="1">
      <alignment horizontal="center" vertical="center"/>
    </xf>
    <xf numFmtId="0" fontId="35" fillId="8" borderId="35" xfId="0" applyFill="1" applyBorder="1" applyAlignment="1">
      <alignment horizontal="center" vertical="center"/>
    </xf>
    <xf numFmtId="0" fontId="35" fillId="8" borderId="36" xfId="0" applyFill="1" applyBorder="1" applyAlignment="1">
      <alignment horizontal="center" vertical="center"/>
    </xf>
    <xf numFmtId="0" fontId="7" fillId="15" borderId="2" xfId="0" applyFill="1" applyBorder="1" applyAlignment="1">
      <alignment horizontal="center" vertical="center"/>
    </xf>
    <xf numFmtId="0" fontId="7" fillId="15" borderId="6" xfId="0" applyFill="1" applyBorder="1" applyAlignment="1">
      <alignment horizontal="center" vertical="center"/>
    </xf>
    <xf numFmtId="0" fontId="8" fillId="5" borderId="28" xfId="0" applyFill="1" applyBorder="1" applyAlignment="1">
      <alignment horizontal="center" vertical="center"/>
    </xf>
    <xf numFmtId="0" fontId="7" fillId="16" borderId="2" xfId="0" applyFill="1" applyBorder="1" applyAlignment="1">
      <alignment horizontal="center" vertical="center"/>
    </xf>
    <xf numFmtId="0" fontId="7" fillId="16" borderId="4" xfId="0" applyFill="1" applyBorder="1" applyAlignment="1">
      <alignment horizontal="center" vertical="center"/>
    </xf>
    <xf numFmtId="0" fontId="7" fillId="16" borderId="6" xfId="0" applyFill="1" applyBorder="1" applyAlignment="1">
      <alignment horizontal="center" vertical="center"/>
    </xf>
    <xf numFmtId="0" fontId="8" fillId="14" borderId="2" xfId="0" applyFill="1" applyBorder="1" applyAlignment="1">
      <alignment horizontal="center" vertical="center"/>
    </xf>
    <xf numFmtId="0" fontId="8" fillId="14" borderId="4" xfId="0" applyFill="1" applyBorder="1" applyAlignment="1">
      <alignment horizontal="center" vertical="center"/>
    </xf>
    <xf numFmtId="0" fontId="8" fillId="14" borderId="6" xfId="0" applyFill="1" applyBorder="1" applyAlignment="1">
      <alignment horizontal="center" vertical="center"/>
    </xf>
    <xf numFmtId="0" fontId="7" fillId="52" borderId="29" xfId="0" applyFill="1" applyBorder="1" applyAlignment="1">
      <alignment horizontal="center" vertical="center"/>
    </xf>
    <xf numFmtId="0" fontId="8" fillId="5" borderId="22" xfId="0" applyFill="1" applyBorder="1" applyAlignment="1">
      <alignment horizontal="center" vertical="center"/>
    </xf>
    <xf numFmtId="0" fontId="7" fillId="52" borderId="4" xfId="0" applyFill="1" applyBorder="1" applyAlignment="1">
      <alignment horizontal="center" vertical="center"/>
    </xf>
    <xf numFmtId="0" fontId="7" fillId="52" borderId="6" xfId="0" applyFill="1" applyBorder="1" applyAlignment="1">
      <alignment horizontal="center" vertical="center"/>
    </xf>
    <xf numFmtId="0" fontId="36" fillId="15" borderId="2" xfId="0" applyFill="1" applyBorder="1" applyAlignment="1">
      <alignment horizontal="center" vertical="center"/>
    </xf>
    <xf numFmtId="0" fontId="36" fillId="15" borderId="6" xfId="0" applyFill="1" applyBorder="1" applyAlignment="1">
      <alignment horizontal="center" vertical="center"/>
    </xf>
    <xf numFmtId="0" fontId="35" fillId="5" borderId="28" xfId="0" applyFill="1" applyBorder="1" applyAlignment="1">
      <alignment horizontal="center" vertical="center"/>
    </xf>
    <xf numFmtId="0" fontId="36" fillId="16" borderId="2" xfId="0" applyFill="1" applyBorder="1" applyAlignment="1">
      <alignment horizontal="center" vertical="center"/>
    </xf>
    <xf numFmtId="0" fontId="36" fillId="16" borderId="4" xfId="0" applyFill="1" applyBorder="1" applyAlignment="1">
      <alignment horizontal="center" vertical="center"/>
    </xf>
    <xf numFmtId="0" fontId="36" fillId="16" borderId="6" xfId="0" applyFill="1" applyBorder="1" applyAlignment="1">
      <alignment horizontal="center" vertical="center"/>
    </xf>
    <xf numFmtId="0" fontId="35" fillId="14" borderId="2" xfId="0" applyFill="1" applyBorder="1" applyAlignment="1">
      <alignment horizontal="center" vertical="center"/>
    </xf>
    <xf numFmtId="0" fontId="35" fillId="14" borderId="4" xfId="0" applyFill="1" applyBorder="1" applyAlignment="1">
      <alignment horizontal="center" vertical="center"/>
    </xf>
    <xf numFmtId="0" fontId="35" fillId="14" borderId="6" xfId="0" applyFill="1" applyBorder="1" applyAlignment="1">
      <alignment horizontal="center" vertical="center"/>
    </xf>
    <xf numFmtId="0" fontId="36" fillId="52" borderId="29" xfId="0" applyFill="1" applyBorder="1" applyAlignment="1">
      <alignment horizontal="center" vertical="center"/>
    </xf>
    <xf numFmtId="0" fontId="35" fillId="5" borderId="22" xfId="0" applyFill="1" applyBorder="1" applyAlignment="1">
      <alignment horizontal="center" vertical="center"/>
    </xf>
    <xf numFmtId="0" fontId="36" fillId="52" borderId="4" xfId="0" applyFill="1" applyBorder="1" applyAlignment="1">
      <alignment horizontal="center" vertical="center"/>
    </xf>
    <xf numFmtId="0" fontId="36" fillId="52" borderId="6" xfId="0" applyFill="1" applyBorder="1" applyAlignment="1">
      <alignment horizontal="center" vertical="center"/>
    </xf>
    <xf numFmtId="0" fontId="8" fillId="0" borderId="0" xfId="0" applyBorder="1" applyAlignment="1">
      <alignment horizontal="center" vertical="center"/>
    </xf>
    <xf numFmtId="0" fontId="8" fillId="7" borderId="0" xfId="0" applyFill="1" applyBorder="1" applyAlignment="1">
      <alignment horizontal="center" vertical="center"/>
    </xf>
    <xf numFmtId="0" fontId="8" fillId="0" borderId="1" xfId="0" applyFill="1" applyBorder="1" applyAlignment="1">
      <alignment horizontal="center" vertical="center"/>
    </xf>
    <xf numFmtId="0" fontId="8" fillId="0" borderId="1" xfId="0" applyFill="1" applyBorder="1" applyAlignment="1">
      <alignment vertical="center"/>
    </xf>
    <xf numFmtId="0" fontId="8" fillId="5" borderId="1" xfId="0" applyFill="1" applyBorder="1" applyAlignment="1">
      <alignment horizontal="center" vertical="center" wrapText="1"/>
    </xf>
    <xf numFmtId="0" fontId="35" fillId="0" borderId="0" xfId="0" applyBorder="1" applyAlignment="1">
      <alignment horizontal="center" vertical="center"/>
    </xf>
    <xf numFmtId="0" fontId="35" fillId="7" borderId="0" xfId="0" applyFill="1" applyBorder="1" applyAlignment="1">
      <alignment horizontal="center" vertical="center"/>
    </xf>
    <xf numFmtId="0" fontId="35" fillId="0" borderId="1" xfId="0" applyFill="1" applyBorder="1" applyAlignment="1">
      <alignment horizontal="center" vertical="center"/>
    </xf>
    <xf numFmtId="0" fontId="35" fillId="0" borderId="1" xfId="0" applyFill="1" applyBorder="1" applyAlignment="1">
      <alignment vertical="center"/>
    </xf>
    <xf numFmtId="0" fontId="35" fillId="5" borderId="1" xfId="0" applyFill="1" applyBorder="1" applyAlignment="1">
      <alignment horizontal="center" vertical="center" wrapText="1"/>
    </xf>
    <xf numFmtId="0" fontId="35" fillId="7" borderId="1" xfId="0" applyFill="1" applyBorder="1" applyAlignment="1">
      <alignment horizontal="center" vertical="center"/>
    </xf>
    <xf numFmtId="0" fontId="35" fillId="7" borderId="1" xfId="0" applyFill="1" applyBorder="1" applyAlignment="1">
      <alignment vertical="center"/>
    </xf>
    <xf numFmtId="0" fontId="35" fillId="7" borderId="1" xfId="0" applyFill="1" applyBorder="1" applyAlignment="1">
      <alignment horizontal="center" vertical="center" wrapText="1"/>
    </xf>
    <xf numFmtId="0" fontId="35" fillId="7" borderId="0" xfId="0" applyFill="1" applyBorder="1" applyAlignment="1">
      <alignment vertical="center"/>
    </xf>
    <xf numFmtId="0" fontId="35" fillId="7" borderId="0" xfId="0" applyFill="1" applyBorder="1" applyAlignment="1">
      <alignment horizontal="center" vertical="center" wrapText="1"/>
    </xf>
    <xf numFmtId="0" fontId="0" fillId="54" borderId="1" xfId="0" applyFill="1" applyBorder="1" applyAlignment="1">
      <alignment horizontal="center" vertical="center"/>
    </xf>
    <xf numFmtId="0" fontId="4" fillId="0" borderId="1" xfId="0" applyAlignment="1">
      <alignment horizontal="center" vertical="center"/>
    </xf>
    <xf numFmtId="66" fontId="0" fillId="0" borderId="0" xfId="0" applyNumberFormat="1" applyAlignment="1">
      <alignment horizontal="center" vertical="center"/>
    </xf>
    <xf numFmtId="68" fontId="0" fillId="0" borderId="0" xfId="0" applyNumberFormat="1" applyAlignment="1">
      <alignment horizontal="center" vertical="center"/>
    </xf>
    <xf numFmtId="0" fontId="0" fillId="4" borderId="1" xfId="0" applyFill="1" applyBorder="1" applyAlignment="1">
      <alignment horizontal="center" vertical="center" wrapText="1"/>
    </xf>
    <xf numFmtId="0" fontId="36" fillId="16" borderId="2" xfId="0" applyFill="1" applyBorder="1" applyAlignment="1">
      <alignment vertical="center"/>
    </xf>
    <xf numFmtId="0" fontId="36" fillId="16" borderId="4" xfId="0" applyFill="1" applyBorder="1" applyAlignment="1">
      <alignment vertical="center"/>
    </xf>
    <xf numFmtId="0" fontId="36" fillId="16" borderId="6" xfId="0" applyFill="1" applyBorder="1" applyAlignment="1">
      <alignment vertical="center"/>
    </xf>
    <xf numFmtId="0" fontId="36" fillId="15" borderId="2" xfId="0" applyFill="1" applyBorder="1" applyAlignment="1">
      <alignment vertical="center"/>
    </xf>
    <xf numFmtId="0" fontId="36" fillId="15" borderId="6" xfId="0" applyFill="1" applyBorder="1" applyAlignment="1">
      <alignment vertical="center"/>
    </xf>
    <xf numFmtId="0" fontId="36" fillId="15" borderId="34" xfId="0" applyFill="1" applyBorder="1" applyAlignment="1">
      <alignment horizontal="center" vertical="center"/>
    </xf>
    <xf numFmtId="0" fontId="36" fillId="15" borderId="26" xfId="0" applyFill="1" applyBorder="1" applyAlignment="1">
      <alignment horizontal="center" vertical="center"/>
    </xf>
    <xf numFmtId="0" fontId="0" fillId="0" borderId="44" xfId="0" applyBorder="1" applyAlignment="1">
      <alignment horizontal="center" vertical="center"/>
    </xf>
    <xf numFmtId="0" fontId="35" fillId="14" borderId="2" xfId="0" applyFill="1" applyBorder="1" applyAlignment="1">
      <alignment vertical="center"/>
    </xf>
    <xf numFmtId="0" fontId="35" fillId="14" borderId="4" xfId="0" applyFill="1" applyBorder="1" applyAlignment="1">
      <alignment vertical="center"/>
    </xf>
    <xf numFmtId="0" fontId="35" fillId="14" borderId="6" xfId="0" applyFill="1" applyBorder="1" applyAlignment="1">
      <alignment vertical="center"/>
    </xf>
    <xf numFmtId="0" fontId="36" fillId="16" borderId="45" xfId="0" applyFill="1" applyBorder="1" applyAlignment="1">
      <alignment horizontal="center" vertical="center"/>
    </xf>
    <xf numFmtId="0" fontId="36" fillId="16" borderId="46" xfId="0" applyFill="1" applyBorder="1" applyAlignment="1">
      <alignment horizontal="center" vertical="center"/>
    </xf>
    <xf numFmtId="0" fontId="35" fillId="14" borderId="46" xfId="0" applyFill="1" applyBorder="1" applyAlignment="1">
      <alignment horizontal="center" vertical="center"/>
    </xf>
    <xf numFmtId="0" fontId="35" fillId="14" borderId="47" xfId="0" applyFill="1" applyBorder="1" applyAlignment="1">
      <alignment horizontal="center" vertical="center"/>
    </xf>
    <xf numFmtId="0" fontId="37" fillId="52" borderId="29" xfId="0" applyFill="1" applyBorder="1" applyAlignment="1">
      <alignment horizontal="center" vertical="center"/>
    </xf>
    <xf numFmtId="0" fontId="37" fillId="52" borderId="4" xfId="0" applyFill="1" applyBorder="1" applyAlignment="1">
      <alignment horizontal="center" vertical="center"/>
    </xf>
    <xf numFmtId="0" fontId="37" fillId="52" borderId="6" xfId="0" applyFill="1" applyBorder="1" applyAlignment="1">
      <alignment horizontal="center" vertical="center"/>
    </xf>
    <xf numFmtId="0" fontId="36" fillId="14" borderId="29" xfId="0" applyFill="1" applyBorder="1" applyAlignment="1">
      <alignment horizontal="center" vertical="center"/>
    </xf>
    <xf numFmtId="0" fontId="36" fillId="14" borderId="4" xfId="0" applyFill="1" applyBorder="1" applyAlignment="1">
      <alignment horizontal="center" vertical="center"/>
    </xf>
    <xf numFmtId="0" fontId="36" fillId="14" borderId="6" xfId="0" applyFill="1" applyBorder="1" applyAlignment="1">
      <alignment horizontal="center" vertical="center"/>
    </xf>
    <xf numFmtId="0" fontId="35" fillId="14" borderId="29" xfId="0" applyFill="1" applyBorder="1" applyAlignment="1">
      <alignment horizontal="center" vertical="center"/>
    </xf>
    <xf numFmtId="0" fontId="35" fillId="5" borderId="35" xfId="0" applyFill="1" applyBorder="1" applyAlignment="1">
      <alignment horizontal="center" vertical="center"/>
    </xf>
    <xf numFmtId="0" fontId="35" fillId="5" borderId="24" xfId="0" applyFill="1" applyBorder="1" applyAlignment="1">
      <alignment horizontal="center" vertical="center"/>
    </xf>
    <xf numFmtId="0" fontId="35" fillId="5" borderId="48" xfId="0" applyFill="1" applyBorder="1" applyAlignment="1">
      <alignment horizontal="center" vertical="center"/>
    </xf>
    <xf numFmtId="0" fontId="36" fillId="15" borderId="34" xfId="0" applyFill="1" applyBorder="1" applyAlignment="1">
      <alignment vertical="center"/>
    </xf>
    <xf numFmtId="0" fontId="36" fillId="15" borderId="26" xfId="0" applyFill="1" applyBorder="1" applyAlignment="1">
      <alignment vertical="center"/>
    </xf>
    <xf numFmtId="0" fontId="0" fillId="0" borderId="44" xfId="0" applyBorder="1" applyAlignment="1">
      <alignment vertical="center"/>
    </xf>
    <xf numFmtId="0" fontId="0" fillId="15" borderId="44" xfId="0" applyFill="1" applyBorder="1" applyAlignment="1">
      <alignment vertical="center"/>
    </xf>
    <xf numFmtId="0" fontId="36" fillId="15" borderId="0" xfId="0" applyFill="1" applyBorder="1" applyAlignment="1">
      <alignment horizontal="center" vertical="center"/>
    </xf>
    <xf numFmtId="0" fontId="0" fillId="15" borderId="0" xfId="0" applyFill="1" applyBorder="1" applyAlignment="1">
      <alignment horizontal="center" vertical="center"/>
    </xf>
    <xf numFmtId="0" fontId="0" fillId="0" borderId="24" xfId="0" applyBorder="1" applyAlignment="1">
      <alignment horizontal="center" vertical="center"/>
    </xf>
    <xf numFmtId="0" fontId="4" fillId="0" borderId="24" xfId="0" applyBorder="1" applyAlignment="1">
      <alignment horizontal="center" vertical="center"/>
    </xf>
    <xf numFmtId="9" fontId="34" fillId="0" borderId="0" xfId="0" applyNumberFormat="1" applyBorder="1" applyAlignment="1">
      <alignment horizontal="center" vertical="center"/>
    </xf>
    <xf numFmtId="0" fontId="34" fillId="0" borderId="0" xfId="0" applyBorder="1" applyAlignment="1">
      <alignment horizontal="center" vertical="center"/>
    </xf>
    <xf numFmtId="0" fontId="8" fillId="8" borderId="34" xfId="0" applyFill="1" applyBorder="1" applyAlignment="1">
      <alignment horizontal="center" vertical="center"/>
    </xf>
    <xf numFmtId="0" fontId="34" fillId="0" borderId="0" xfId="0">
      <alignment vertical="center"/>
    </xf>
    <xf numFmtId="0" fontId="7" fillId="15" borderId="0" xfId="0" applyFill="1" applyBorder="1" applyAlignment="1">
      <alignment horizontal="center" vertical="center"/>
    </xf>
    <xf numFmtId="0" fontId="34" fillId="0" borderId="26" xfId="0" applyBorder="1" applyAlignment="1">
      <alignment horizontal="center" vertical="center"/>
    </xf>
    <xf numFmtId="0" fontId="8" fillId="7" borderId="27" xfId="0" applyFill="1" applyBorder="1" applyAlignment="1">
      <alignment horizontal="center" vertical="center"/>
    </xf>
    <xf numFmtId="0" fontId="8" fillId="7" borderId="27" xfId="0" applyFill="1" applyBorder="1">
      <alignment vertical="center"/>
    </xf>
    <xf numFmtId="0" fontId="8" fillId="7" borderId="3" xfId="0" applyFill="1" applyBorder="1" applyAlignment="1">
      <alignment horizontal="center" vertical="center"/>
    </xf>
    <xf numFmtId="0" fontId="8" fillId="7" borderId="28" xfId="0" applyFill="1" applyBorder="1" applyAlignment="1">
      <alignment horizontal="center" vertical="center"/>
    </xf>
    <xf numFmtId="0" fontId="8" fillId="7" borderId="7" xfId="0" applyFill="1" applyBorder="1" applyAlignment="1">
      <alignment horizontal="center" vertical="center"/>
    </xf>
    <xf numFmtId="0" fontId="34" fillId="15" borderId="0" xfId="0" applyFill="1" applyBorder="1" applyAlignment="1">
      <alignment horizontal="center" vertical="center"/>
    </xf>
    <xf numFmtId="0" fontId="7" fillId="16" borderId="45" xfId="0" applyFill="1" applyBorder="1" applyAlignment="1">
      <alignment horizontal="center" vertical="center"/>
    </xf>
    <xf numFmtId="0" fontId="8" fillId="7" borderId="5" xfId="0" applyFill="1" applyBorder="1" applyAlignment="1">
      <alignment horizontal="center" vertical="center"/>
    </xf>
    <xf numFmtId="0" fontId="7" fillId="16" borderId="46" xfId="0" applyFill="1" applyBorder="1" applyAlignment="1">
      <alignment horizontal="center" vertical="center"/>
    </xf>
    <xf numFmtId="0" fontId="8" fillId="14" borderId="46" xfId="0" applyFill="1" applyBorder="1" applyAlignment="1">
      <alignment horizontal="center" vertical="center"/>
    </xf>
    <xf numFmtId="0" fontId="8" fillId="7" borderId="1" xfId="0" applyFill="1" applyBorder="1">
      <alignment vertical="center"/>
    </xf>
    <xf numFmtId="0" fontId="8" fillId="0" borderId="24" xfId="0" applyBorder="1" applyAlignment="1">
      <alignment horizontal="center" vertical="center"/>
    </xf>
    <xf numFmtId="0" fontId="8" fillId="14" borderId="47" xfId="0" applyFill="1" applyBorder="1" applyAlignment="1">
      <alignment horizontal="center" vertical="center"/>
    </xf>
    <xf numFmtId="0" fontId="8" fillId="14" borderId="29" xfId="0" applyFill="1" applyBorder="1" applyAlignment="1">
      <alignment horizontal="center" vertical="center"/>
    </xf>
    <xf numFmtId="0" fontId="8" fillId="5" borderId="35" xfId="0" applyFill="1" applyBorder="1" applyAlignment="1">
      <alignment horizontal="center" vertical="center"/>
    </xf>
    <xf numFmtId="0" fontId="8" fillId="7" borderId="22" xfId="0" applyFill="1" applyBorder="1" applyAlignment="1">
      <alignment horizontal="center" vertical="center"/>
    </xf>
    <xf numFmtId="0" fontId="8" fillId="7" borderId="22" xfId="0" applyFill="1" applyBorder="1">
      <alignment vertical="center"/>
    </xf>
    <xf numFmtId="0" fontId="8" fillId="7" borderId="30" xfId="0" applyFill="1" applyBorder="1" applyAlignment="1">
      <alignment horizontal="center" vertical="center"/>
    </xf>
    <xf numFmtId="0" fontId="8" fillId="5" borderId="24" xfId="0" applyFill="1" applyBorder="1" applyAlignment="1">
      <alignment horizontal="center" vertical="center"/>
    </xf>
    <xf numFmtId="0" fontId="8" fillId="5" borderId="48" xfId="0" applyFill="1" applyBorder="1" applyAlignment="1">
      <alignment horizontal="center" vertical="center"/>
    </xf>
    <xf numFmtId="0" fontId="8" fillId="7" borderId="28" xfId="0" applyFill="1" applyBorder="1">
      <alignment vertical="center"/>
    </xf>
    <xf numFmtId="9" fontId="33" fillId="0" borderId="0" xfId="0" applyNumberFormat="1" applyBorder="1" applyAlignment="1">
      <alignment horizontal="center" vertical="center"/>
    </xf>
    <xf numFmtId="0" fontId="33" fillId="0" borderId="0" xfId="0" applyBorder="1" applyAlignment="1">
      <alignment horizontal="center" vertical="center"/>
    </xf>
    <xf numFmtId="0" fontId="35" fillId="8" borderId="34" xfId="0" applyFill="1" applyBorder="1" applyAlignment="1">
      <alignment horizontal="center" vertical="center"/>
    </xf>
    <xf numFmtId="0" fontId="33" fillId="0" borderId="0" xfId="0">
      <alignment vertical="center"/>
    </xf>
    <xf numFmtId="0" fontId="33" fillId="0" borderId="26" xfId="0" applyBorder="1" applyAlignment="1">
      <alignment horizontal="center" vertical="center"/>
    </xf>
    <xf numFmtId="0" fontId="35" fillId="7" borderId="27" xfId="0" applyFill="1" applyBorder="1" applyAlignment="1">
      <alignment horizontal="center" vertical="center"/>
    </xf>
    <xf numFmtId="0" fontId="35" fillId="7" borderId="27" xfId="0" applyFill="1" applyBorder="1">
      <alignment vertical="center"/>
    </xf>
    <xf numFmtId="0" fontId="35" fillId="7" borderId="3" xfId="0" applyFill="1" applyBorder="1" applyAlignment="1">
      <alignment horizontal="center" vertical="center"/>
    </xf>
    <xf numFmtId="0" fontId="35" fillId="7" borderId="28" xfId="0" applyFill="1" applyBorder="1" applyAlignment="1">
      <alignment horizontal="center" vertical="center"/>
    </xf>
    <xf numFmtId="0" fontId="35" fillId="7" borderId="7" xfId="0" applyFill="1" applyBorder="1" applyAlignment="1">
      <alignment horizontal="center" vertical="center"/>
    </xf>
    <xf numFmtId="0" fontId="33" fillId="15" borderId="0" xfId="0" applyFill="1" applyBorder="1" applyAlignment="1">
      <alignment horizontal="center" vertical="center"/>
    </xf>
    <xf numFmtId="0" fontId="35" fillId="7" borderId="5" xfId="0" applyFill="1" applyBorder="1" applyAlignment="1">
      <alignment horizontal="center" vertical="center"/>
    </xf>
    <xf numFmtId="0" fontId="35" fillId="7" borderId="1" xfId="0" applyFill="1" applyBorder="1">
      <alignment vertical="center"/>
    </xf>
    <xf numFmtId="0" fontId="35" fillId="0" borderId="24" xfId="0" applyBorder="1" applyAlignment="1">
      <alignment horizontal="center" vertical="center"/>
    </xf>
    <xf numFmtId="0" fontId="35" fillId="7" borderId="22" xfId="0" applyFill="1" applyBorder="1" applyAlignment="1">
      <alignment horizontal="center" vertical="center"/>
    </xf>
    <xf numFmtId="0" fontId="35" fillId="7" borderId="22" xfId="0" applyFill="1" applyBorder="1">
      <alignment vertical="center"/>
    </xf>
    <xf numFmtId="0" fontId="35" fillId="7" borderId="30" xfId="0" applyFill="1" applyBorder="1" applyAlignment="1">
      <alignment horizontal="center" vertical="center"/>
    </xf>
    <xf numFmtId="0" fontId="35" fillId="7" borderId="28" xfId="0" applyFill="1" applyBorder="1">
      <alignment vertical="center"/>
    </xf>
    <xf numFmtId="0" fontId="33" fillId="0" borderId="24" xfId="0" applyBorder="1" applyAlignment="1">
      <alignment horizontal="center" vertical="center"/>
    </xf>
    <xf numFmtId="0" fontId="35" fillId="8" borderId="0" xfId="0" applyFill="1" applyBorder="1" applyAlignment="1">
      <alignment horizontal="center" vertical="center"/>
    </xf>
    <xf numFmtId="0" fontId="35" fillId="22" borderId="24" xfId="0" applyFill="1" applyBorder="1" applyAlignment="1">
      <alignment horizontal="center" vertical="center"/>
    </xf>
    <xf numFmtId="0" fontId="4" fillId="22" borderId="0" xfId="0" applyFill="1">
      <alignment vertical="center"/>
    </xf>
    <xf numFmtId="0" fontId="35" fillId="16" borderId="24" xfId="0" applyFill="1" applyBorder="1" applyAlignment="1">
      <alignment horizontal="center" vertical="center"/>
    </xf>
    <xf numFmtId="0" fontId="4" fillId="16" borderId="0" xfId="0" applyFill="1">
      <alignment vertical="center"/>
    </xf>
    <xf numFmtId="0" fontId="35" fillId="55" borderId="24" xfId="0" applyFill="1" applyBorder="1" applyAlignment="1">
      <alignment horizontal="center" vertical="center"/>
    </xf>
    <xf numFmtId="0" fontId="4" fillId="55" borderId="0" xfId="0" applyFill="1">
      <alignment vertical="center"/>
    </xf>
    <xf numFmtId="0" fontId="35" fillId="8" borderId="1" xfId="0" applyFill="1" applyBorder="1" applyAlignment="1">
      <alignment horizontal="center" vertical="center"/>
    </xf>
    <xf numFmtId="0" fontId="36" fillId="15" borderId="1" xfId="0" applyFill="1" applyBorder="1" applyAlignment="1">
      <alignment horizontal="center" vertical="center"/>
    </xf>
    <xf numFmtId="0" fontId="33" fillId="15" borderId="1" xfId="0" applyFill="1" applyBorder="1" applyAlignment="1">
      <alignment horizontal="center" vertical="center"/>
    </xf>
    <xf numFmtId="0" fontId="36" fillId="16" borderId="1" xfId="0" applyFill="1" applyBorder="1" applyAlignment="1">
      <alignment horizontal="center" vertical="center"/>
    </xf>
    <xf numFmtId="0" fontId="35" fillId="55" borderId="1" xfId="0" applyFill="1" applyBorder="1" applyAlignment="1">
      <alignment horizontal="center" vertical="center"/>
    </xf>
    <xf numFmtId="0" fontId="4" fillId="55" borderId="1" xfId="0" applyFill="1" applyBorder="1">
      <alignment vertical="center"/>
    </xf>
    <xf numFmtId="0" fontId="35" fillId="14" borderId="1" xfId="0" applyFill="1" applyBorder="1" applyAlignment="1">
      <alignment horizontal="center" vertical="center"/>
    </xf>
    <xf numFmtId="0" fontId="33" fillId="0" borderId="1" xfId="0" applyBorder="1">
      <alignment vertical="center"/>
    </xf>
    <xf numFmtId="0" fontId="35" fillId="8" borderId="2" xfId="0" applyFill="1" applyBorder="1" applyAlignment="1">
      <alignment horizontal="center" vertical="center"/>
    </xf>
    <xf numFmtId="0" fontId="33" fillId="0" borderId="27" xfId="0" applyBorder="1" applyAlignment="1">
      <alignment horizontal="center" vertical="center"/>
    </xf>
    <xf numFmtId="0" fontId="35" fillId="8" borderId="27" xfId="0" applyFill="1" applyBorder="1" applyAlignment="1">
      <alignment horizontal="center" vertical="center"/>
    </xf>
    <xf numFmtId="0" fontId="35" fillId="8" borderId="3" xfId="0" applyFill="1" applyBorder="1" applyAlignment="1">
      <alignment horizontal="center" vertical="center"/>
    </xf>
    <xf numFmtId="0" fontId="36" fillId="15" borderId="4" xfId="0" applyFill="1" applyBorder="1" applyAlignment="1">
      <alignment horizontal="center" vertical="center"/>
    </xf>
    <xf numFmtId="0" fontId="33" fillId="15" borderId="4" xfId="0" applyFill="1" applyBorder="1" applyAlignment="1">
      <alignment horizontal="center" vertical="center"/>
    </xf>
    <xf numFmtId="0" fontId="33" fillId="0" borderId="28" xfId="0" applyBorder="1">
      <alignment vertical="center"/>
    </xf>
    <xf numFmtId="0" fontId="33" fillId="15" borderId="6" xfId="0" applyFill="1" applyBorder="1" applyAlignment="1">
      <alignment horizontal="center" vertical="center"/>
    </xf>
    <xf numFmtId="0" fontId="35" fillId="8" borderId="45" xfId="0" applyFill="1" applyBorder="1" applyAlignment="1">
      <alignment horizontal="center" vertical="center"/>
    </xf>
    <xf numFmtId="0" fontId="33" fillId="0" borderId="35" xfId="0" applyBorder="1" applyAlignment="1">
      <alignment horizontal="center" vertical="center"/>
    </xf>
    <xf numFmtId="0" fontId="36" fillId="16" borderId="29" xfId="0" applyFill="1" applyBorder="1" applyAlignment="1">
      <alignment horizontal="center" vertical="center"/>
    </xf>
    <xf numFmtId="0" fontId="35" fillId="55" borderId="22" xfId="0" applyFill="1" applyBorder="1" applyAlignment="1">
      <alignment horizontal="center" vertical="center"/>
    </xf>
    <xf numFmtId="0" fontId="35" fillId="55" borderId="27" xfId="0" applyFill="1" applyBorder="1" applyAlignment="1">
      <alignment horizontal="center" vertical="center"/>
    </xf>
    <xf numFmtId="0" fontId="35" fillId="55" borderId="28" xfId="0" applyFill="1" applyBorder="1" applyAlignment="1">
      <alignment horizontal="center" vertical="center"/>
    </xf>
    <xf numFmtId="0" fontId="33" fillId="0" borderId="22" xfId="0" applyBorder="1">
      <alignment vertical="center"/>
    </xf>
    <xf numFmtId="0" fontId="33" fillId="0" borderId="27" xfId="0" applyBorder="1">
      <alignment vertical="center"/>
    </xf>
    <xf numFmtId="0" fontId="35" fillId="14" borderId="49" xfId="0" applyFill="1" applyBorder="1" applyAlignment="1">
      <alignment horizontal="center" vertical="center"/>
    </xf>
    <xf numFmtId="0" fontId="33" fillId="0" borderId="34" xfId="0" applyBorder="1" applyAlignment="1">
      <alignment horizontal="center" vertical="center"/>
    </xf>
    <xf numFmtId="0" fontId="35" fillId="14" borderId="50" xfId="0" applyFill="1" applyBorder="1" applyAlignment="1">
      <alignment horizontal="center" vertical="center"/>
    </xf>
    <xf numFmtId="0" fontId="35" fillId="14" borderId="51" xfId="0" applyFill="1" applyBorder="1" applyAlignment="1">
      <alignment horizontal="center" vertical="center"/>
    </xf>
    <xf numFmtId="0" fontId="33" fillId="0" borderId="44" xfId="0" applyBorder="1" applyAlignment="1">
      <alignment horizontal="center" vertical="center"/>
    </xf>
    <xf numFmtId="0" fontId="35" fillId="10" borderId="28" xfId="0" applyFill="1" applyBorder="1" applyAlignment="1">
      <alignment horizontal="center" vertical="center"/>
    </xf>
    <xf numFmtId="0" fontId="35" fillId="10" borderId="1" xfId="0" applyFill="1" applyBorder="1" applyAlignment="1">
      <alignment horizontal="center" vertical="center"/>
    </xf>
    <xf numFmtId="0" fontId="35" fillId="23" borderId="1" xfId="0" applyFill="1" applyBorder="1" applyAlignment="1">
      <alignment horizontal="center" vertical="center"/>
    </xf>
    <xf numFmtId="0" fontId="35" fillId="23" borderId="28" xfId="0" applyFill="1" applyBorder="1" applyAlignment="1">
      <alignment horizontal="center" vertical="center"/>
    </xf>
    <xf numFmtId="0" fontId="8" fillId="46" borderId="1" xfId="0" applyFill="1" applyBorder="1" applyAlignment="1">
      <alignment horizontal="center" vertical="center"/>
    </xf>
    <xf numFmtId="0" fontId="0" fillId="7" borderId="0" xfId="0" quotePrefix="1" applyFill="1" applyAlignment="1">
      <alignment horizontal="center" vertical="center"/>
    </xf>
    <xf numFmtId="0" fontId="0" fillId="52" borderId="1" xfId="0" applyFill="1" applyBorder="1" applyAlignment="1">
      <alignment horizontal="center" vertical="center"/>
    </xf>
    <xf numFmtId="0" fontId="35" fillId="7" borderId="27" xfId="0" applyFill="1" applyBorder="1" applyAlignment="1">
      <alignment horizontal="center" vertical="center" wrapText="1"/>
    </xf>
    <xf numFmtId="0" fontId="4" fillId="3" borderId="0" xfId="0" applyFill="1" applyBorder="1" applyAlignment="1">
      <alignment horizontal="center" vertical="center"/>
    </xf>
    <xf numFmtId="0" fontId="36" fillId="15" borderId="1" xfId="0" applyFill="1" applyBorder="1" applyAlignment="1">
      <alignment vertical="center"/>
    </xf>
    <xf numFmtId="0" fontId="33" fillId="0" borderId="1" xfId="0" applyBorder="1" applyAlignment="1">
      <alignment vertical="center"/>
    </xf>
    <xf numFmtId="0" fontId="33" fillId="15" borderId="1" xfId="0" applyFill="1" applyBorder="1" applyAlignment="1">
      <alignment vertical="center"/>
    </xf>
    <xf numFmtId="0" fontId="36" fillId="15" borderId="52" xfId="0" applyFill="1" applyBorder="1" applyAlignment="1">
      <alignment horizontal="center" vertical="center"/>
    </xf>
    <xf numFmtId="0" fontId="33" fillId="15" borderId="25" xfId="0" applyFill="1" applyBorder="1" applyAlignment="1">
      <alignment horizontal="center" vertical="center"/>
    </xf>
    <xf numFmtId="0" fontId="36" fillId="15" borderId="53" xfId="0" applyFill="1" applyBorder="1" applyAlignment="1">
      <alignment horizontal="center" vertical="center"/>
    </xf>
    <xf numFmtId="0" fontId="33" fillId="15" borderId="26" xfId="0" applyFill="1" applyBorder="1" applyAlignment="1">
      <alignment horizontal="center" vertical="center"/>
    </xf>
    <xf numFmtId="0" fontId="33" fillId="15" borderId="53" xfId="0" applyFill="1" applyBorder="1" applyAlignment="1">
      <alignment horizontal="center" vertical="center"/>
    </xf>
    <xf numFmtId="0" fontId="0" fillId="0" borderId="54" xfId="0" applyBorder="1" applyAlignment="1">
      <alignment horizontal="center" vertical="center"/>
    </xf>
    <xf numFmtId="0" fontId="35" fillId="16" borderId="4" xfId="0" applyFill="1" applyBorder="1" applyAlignment="1">
      <alignment vertical="center"/>
    </xf>
    <xf numFmtId="0" fontId="35" fillId="16" borderId="6" xfId="0" applyFill="1" applyBorder="1" applyAlignment="1">
      <alignment vertical="center"/>
    </xf>
    <xf numFmtId="0" fontId="36" fillId="16" borderId="55" xfId="0" applyFill="1" applyBorder="1" applyAlignment="1">
      <alignment horizontal="center" vertical="center"/>
    </xf>
    <xf numFmtId="0" fontId="36" fillId="16" borderId="0" xfId="0" applyFill="1" applyBorder="1" applyAlignment="1">
      <alignment horizontal="center" vertical="center"/>
    </xf>
    <xf numFmtId="0" fontId="35" fillId="16" borderId="0" xfId="0" applyFill="1" applyBorder="1" applyAlignment="1">
      <alignment horizontal="center" vertical="center"/>
    </xf>
    <xf numFmtId="0" fontId="0" fillId="0" borderId="55" xfId="0" applyBorder="1" applyAlignment="1">
      <alignment horizontal="center" vertical="center"/>
    </xf>
    <xf numFmtId="0" fontId="35" fillId="5" borderId="56" xfId="0" applyFill="1" applyBorder="1" applyAlignment="1">
      <alignment horizontal="center" vertical="center"/>
    </xf>
    <xf numFmtId="0" fontId="35" fillId="5" borderId="57" xfId="0" applyFill="1" applyBorder="1" applyAlignment="1">
      <alignment horizontal="center" vertical="center"/>
    </xf>
    <xf numFmtId="0" fontId="35" fillId="14" borderId="49" xfId="0" applyFill="1" applyBorder="1" applyAlignment="1">
      <alignment vertical="center"/>
    </xf>
    <xf numFmtId="0" fontId="33" fillId="0" borderId="34" xfId="0" applyBorder="1" applyAlignment="1">
      <alignment vertical="center"/>
    </xf>
    <xf numFmtId="0" fontId="35" fillId="14" borderId="50" xfId="0" applyFill="1" applyBorder="1" applyAlignment="1">
      <alignment vertical="center"/>
    </xf>
    <xf numFmtId="0" fontId="33" fillId="0" borderId="26" xfId="0" applyBorder="1" applyAlignment="1">
      <alignment vertical="center"/>
    </xf>
    <xf numFmtId="0" fontId="35" fillId="14" borderId="51" xfId="0" applyFill="1" applyBorder="1" applyAlignment="1">
      <alignment vertical="center"/>
    </xf>
    <xf numFmtId="0" fontId="33" fillId="0" borderId="44" xfId="0" applyBorder="1" applyAlignment="1">
      <alignment vertical="center"/>
    </xf>
    <xf numFmtId="0" fontId="33" fillId="14" borderId="34" xfId="0" applyFill="1" applyBorder="1" applyAlignment="1">
      <alignment vertical="center"/>
    </xf>
    <xf numFmtId="0" fontId="33" fillId="14" borderId="26" xfId="0" applyFill="1" applyBorder="1" applyAlignment="1">
      <alignment vertical="center"/>
    </xf>
    <xf numFmtId="0" fontId="33" fillId="14" borderId="44" xfId="0" applyFill="1" applyBorder="1" applyAlignment="1">
      <alignment vertical="center"/>
    </xf>
    <xf numFmtId="0" fontId="35" fillId="5" borderId="27" xfId="0" applyFill="1" applyBorder="1" applyAlignment="1">
      <alignment vertical="center"/>
    </xf>
    <xf numFmtId="0" fontId="35" fillId="5" borderId="1" xfId="0" applyFill="1" applyBorder="1" applyAlignment="1">
      <alignment vertical="center"/>
    </xf>
    <xf numFmtId="0" fontId="35" fillId="5" borderId="28" xfId="0" applyFill="1" applyBorder="1" applyAlignment="1">
      <alignment vertical="center"/>
    </xf>
    <xf numFmtId="0" fontId="33" fillId="14" borderId="34" xfId="0" applyFill="1" applyBorder="1" applyAlignment="1">
      <alignment horizontal="center" vertical="center"/>
    </xf>
    <xf numFmtId="0" fontId="33" fillId="14" borderId="26" xfId="0" applyFill="1" applyBorder="1" applyAlignment="1">
      <alignment horizontal="center" vertical="center"/>
    </xf>
    <xf numFmtId="0" fontId="35" fillId="7" borderId="51" xfId="0" applyFill="1" applyBorder="1" applyAlignment="1">
      <alignment vertical="center"/>
    </xf>
    <xf numFmtId="0" fontId="33" fillId="7" borderId="44" xfId="0" applyFill="1" applyBorder="1" applyAlignment="1">
      <alignment vertical="center"/>
    </xf>
    <xf numFmtId="0" fontId="35" fillId="7" borderId="28" xfId="0" applyFill="1" applyBorder="1" applyAlignment="1">
      <alignment vertical="center"/>
    </xf>
    <xf numFmtId="0" fontId="33" fillId="7" borderId="0" xfId="0" applyFill="1" applyBorder="1" applyAlignment="1">
      <alignment vertical="center"/>
    </xf>
    <xf numFmtId="0" fontId="35" fillId="7" borderId="0" xfId="0" applyFill="1" applyBorder="1">
      <alignment vertical="center"/>
    </xf>
    <xf numFmtId="0" fontId="35" fillId="7" borderId="23" xfId="0" applyFill="1" applyBorder="1" applyAlignment="1">
      <alignment horizontal="center" vertical="center"/>
    </xf>
    <xf numFmtId="0" fontId="35" fillId="7" borderId="9" xfId="0" applyFill="1" applyBorder="1" applyAlignment="1">
      <alignment horizontal="center" vertical="center"/>
    </xf>
    <xf numFmtId="0" fontId="4" fillId="0" borderId="0" xfId="0" applyBorder="1">
      <alignment vertical="center"/>
    </xf>
    <xf numFmtId="0" fontId="33" fillId="0" borderId="54" xfId="0" applyBorder="1" applyAlignment="1">
      <alignment horizontal="center" vertical="center"/>
    </xf>
    <xf numFmtId="0" fontId="33" fillId="0" borderId="11" xfId="0" applyBorder="1" applyAlignment="1">
      <alignment horizontal="center" vertical="center"/>
    </xf>
    <xf numFmtId="0" fontId="35" fillId="55" borderId="1" xfId="0" applyFill="1" applyBorder="1">
      <alignment vertical="center"/>
    </xf>
    <xf numFmtId="0" fontId="35" fillId="16" borderId="1" xfId="0" applyFill="1" applyBorder="1" applyAlignment="1">
      <alignment horizontal="center" vertical="center"/>
    </xf>
    <xf numFmtId="0" fontId="33" fillId="14" borderId="1" xfId="0" applyFill="1" applyBorder="1" applyAlignment="1">
      <alignment horizontal="center" vertical="center"/>
    </xf>
    <xf numFmtId="0" fontId="33" fillId="0" borderId="5" xfId="0" applyBorder="1">
      <alignment vertical="center"/>
    </xf>
    <xf numFmtId="0" fontId="35" fillId="16" borderId="4" xfId="0" applyFill="1" applyBorder="1" applyAlignment="1">
      <alignment horizontal="center" vertical="center"/>
    </xf>
    <xf numFmtId="0" fontId="33" fillId="14" borderId="28" xfId="0" applyFill="1" applyBorder="1" applyAlignment="1">
      <alignment horizontal="center" vertical="center"/>
    </xf>
    <xf numFmtId="0" fontId="33" fillId="15" borderId="27" xfId="0" applyFill="1" applyBorder="1" applyAlignment="1">
      <alignment horizontal="center" vertical="center"/>
    </xf>
    <xf numFmtId="0" fontId="33" fillId="0" borderId="7" xfId="0" applyBorder="1">
      <alignment vertical="center"/>
    </xf>
    <xf numFmtId="0" fontId="35" fillId="7" borderId="22" xfId="0" applyFill="1" applyBorder="1" applyAlignment="1">
      <alignment horizontal="center" vertical="center" wrapText="1"/>
    </xf>
    <xf numFmtId="0" fontId="33" fillId="14" borderId="22" xfId="0" applyFill="1" applyBorder="1" applyAlignment="1">
      <alignment horizontal="center" vertical="center"/>
    </xf>
    <xf numFmtId="0" fontId="0" fillId="0" borderId="28" xfId="0" applyBorder="1" applyAlignment="1">
      <alignment horizontal="left" vertical="center" wrapText="1"/>
    </xf>
    <xf numFmtId="0" fontId="33" fillId="15" borderId="27" xfId="0" applyFill="1" applyBorder="1" applyAlignment="1">
      <alignment vertical="center"/>
    </xf>
    <xf numFmtId="0" fontId="36" fillId="15" borderId="4" xfId="0" applyFill="1" applyBorder="1" applyAlignment="1">
      <alignment vertical="center"/>
    </xf>
    <xf numFmtId="0" fontId="33" fillId="15" borderId="4" xfId="0" applyFill="1" applyBorder="1" applyAlignment="1">
      <alignment vertical="center"/>
    </xf>
    <xf numFmtId="0" fontId="33" fillId="0" borderId="6" xfId="0" applyBorder="1" applyAlignment="1">
      <alignment vertical="center"/>
    </xf>
    <xf numFmtId="0" fontId="33" fillId="0" borderId="28" xfId="0" applyBorder="1" applyAlignment="1">
      <alignment vertical="center"/>
    </xf>
    <xf numFmtId="0" fontId="33" fillId="15" borderId="6" xfId="0" applyFill="1" applyBorder="1" applyAlignment="1">
      <alignment vertical="center"/>
    </xf>
    <xf numFmtId="0" fontId="33" fillId="15" borderId="28" xfId="0" applyFill="1" applyBorder="1" applyAlignment="1">
      <alignment vertical="center"/>
    </xf>
    <xf numFmtId="0" fontId="35" fillId="15" borderId="1" xfId="0" applyFill="1" applyBorder="1" applyAlignment="1">
      <alignment horizontal="center" vertical="center"/>
    </xf>
    <xf numFmtId="0" fontId="0" fillId="15" borderId="0" xfId="0" applyFill="1" applyBorder="1">
      <alignment vertical="center"/>
    </xf>
    <xf numFmtId="0" fontId="35" fillId="56" borderId="1" xfId="0" applyFill="1" applyBorder="1" applyAlignment="1">
      <alignment horizontal="center" vertical="center"/>
    </xf>
    <xf numFmtId="0" fontId="33" fillId="56" borderId="1" xfId="0" applyFill="1" applyBorder="1" applyAlignment="1">
      <alignment vertical="center"/>
    </xf>
    <xf numFmtId="0" fontId="33" fillId="56" borderId="28" xfId="0" applyFill="1" applyBorder="1" applyAlignment="1">
      <alignment vertical="center"/>
    </xf>
    <xf numFmtId="0" fontId="0" fillId="56" borderId="0" xfId="0" applyFill="1" applyBorder="1">
      <alignment vertical="center"/>
    </xf>
    <xf numFmtId="0" fontId="35" fillId="57" borderId="1" xfId="0" applyFill="1" applyBorder="1" applyAlignment="1">
      <alignment horizontal="center" vertical="center"/>
    </xf>
    <xf numFmtId="0" fontId="33" fillId="57" borderId="1" xfId="0" applyFill="1" applyBorder="1" applyAlignment="1">
      <alignment vertical="center"/>
    </xf>
    <xf numFmtId="0" fontId="33" fillId="57" borderId="28" xfId="0" applyFill="1" applyBorder="1" applyAlignment="1">
      <alignment vertical="center"/>
    </xf>
    <xf numFmtId="0" fontId="0" fillId="57" borderId="0" xfId="0" applyFill="1" applyBorder="1">
      <alignment vertical="center"/>
    </xf>
    <xf numFmtId="0" fontId="36" fillId="15" borderId="55" xfId="0" applyFill="1" applyBorder="1" applyAlignment="1">
      <alignment horizontal="center" vertical="center"/>
    </xf>
    <xf numFmtId="0" fontId="0" fillId="0" borderId="58" xfId="0" applyBorder="1" applyAlignment="1">
      <alignment horizontal="center" vertical="center"/>
    </xf>
    <xf numFmtId="0" fontId="35" fillId="57" borderId="25" xfId="0" applyFill="1" applyBorder="1" applyAlignment="1">
      <alignment horizontal="center" vertical="center"/>
    </xf>
    <xf numFmtId="0" fontId="33" fillId="57" borderId="26" xfId="0" applyFill="1" applyBorder="1" applyAlignment="1">
      <alignment horizontal="center" vertical="center"/>
    </xf>
    <xf numFmtId="0" fontId="0" fillId="57" borderId="26" xfId="0" applyFill="1" applyBorder="1" applyAlignment="1">
      <alignment horizontal="center" vertical="center"/>
    </xf>
    <xf numFmtId="0" fontId="36" fillId="15" borderId="55" xfId="0" applyFill="1" applyBorder="1" applyAlignment="1">
      <alignment vertical="center"/>
    </xf>
    <xf numFmtId="0" fontId="36" fillId="15" borderId="0" xfId="0" applyFill="1" applyBorder="1" applyAlignment="1">
      <alignment vertical="center"/>
    </xf>
    <xf numFmtId="0" fontId="33" fillId="15" borderId="0" xfId="0" applyFill="1" applyBorder="1" applyAlignment="1">
      <alignment vertical="center"/>
    </xf>
    <xf numFmtId="0" fontId="0" fillId="0" borderId="0" xfId="0" applyBorder="1" applyAlignment="1">
      <alignment vertical="center"/>
    </xf>
    <xf numFmtId="0" fontId="0" fillId="0" borderId="58" xfId="0" applyBorder="1" applyAlignment="1">
      <alignment vertical="center"/>
    </xf>
    <xf numFmtId="0" fontId="0" fillId="15" borderId="0" xfId="0" applyFill="1" applyBorder="1" applyAlignment="1">
      <alignment vertical="center"/>
    </xf>
    <xf numFmtId="0" fontId="0" fillId="15" borderId="58" xfId="0" applyFill="1" applyBorder="1" applyAlignment="1">
      <alignment vertical="center"/>
    </xf>
    <xf numFmtId="0" fontId="33" fillId="57" borderId="1" xfId="0" applyFill="1" applyBorder="1" applyAlignment="1">
      <alignment horizontal="center" vertical="center"/>
    </xf>
    <xf numFmtId="0" fontId="0" fillId="57" borderId="1" xfId="0" applyFill="1" applyBorder="1" applyAlignment="1">
      <alignment horizontal="center" vertical="center"/>
    </xf>
    <xf numFmtId="0" fontId="0" fillId="15" borderId="1" xfId="0" applyFill="1" applyBorder="1" applyAlignment="1">
      <alignment horizontal="center" vertical="center"/>
    </xf>
    <xf numFmtId="0" fontId="0" fillId="15" borderId="1" xfId="0" applyFill="1" applyBorder="1">
      <alignment vertical="center"/>
    </xf>
    <xf numFmtId="0" fontId="0" fillId="15" borderId="12" xfId="0" applyFill="1" applyBorder="1" applyAlignment="1">
      <alignment horizontal="center" vertical="center"/>
    </xf>
    <xf numFmtId="0" fontId="0" fillId="0" borderId="12" xfId="0" applyBorder="1" applyAlignment="1">
      <alignment horizontal="center" vertical="center"/>
    </xf>
    <xf numFmtId="0" fontId="0" fillId="15" borderId="10" xfId="0" applyFill="1" applyBorder="1">
      <alignment vertical="center"/>
    </xf>
    <xf numFmtId="0" fontId="0" fillId="15" borderId="25" xfId="0" applyFill="1" applyBorder="1">
      <alignment vertical="center"/>
    </xf>
    <xf numFmtId="0" fontId="0" fillId="15" borderId="11" xfId="0" applyFill="1" applyBorder="1">
      <alignment vertical="center"/>
    </xf>
    <xf numFmtId="0" fontId="0" fillId="15" borderId="59" xfId="0" applyFill="1" applyBorder="1">
      <alignment vertical="center"/>
    </xf>
    <xf numFmtId="0" fontId="35" fillId="5" borderId="10" xfId="0" applyFill="1" applyBorder="1" applyAlignment="1">
      <alignment horizontal="center" vertical="center"/>
    </xf>
    <xf numFmtId="0" fontId="0" fillId="15" borderId="26" xfId="0" applyFill="1" applyBorder="1">
      <alignment vertical="center"/>
    </xf>
    <xf numFmtId="0" fontId="0" fillId="15" borderId="23" xfId="0" applyFill="1" applyBorder="1">
      <alignment vertical="center"/>
    </xf>
    <xf numFmtId="0" fontId="0" fillId="0" borderId="5" xfId="0" applyBorder="1">
      <alignment vertical="center"/>
    </xf>
    <xf numFmtId="0" fontId="0" fillId="15" borderId="60" xfId="0" applyFill="1" applyBorder="1" applyAlignment="1">
      <alignment horizontal="center" vertical="center"/>
    </xf>
    <xf numFmtId="0" fontId="0" fillId="0" borderId="61" xfId="0" applyBorder="1" applyAlignment="1">
      <alignment horizontal="center" vertical="center"/>
    </xf>
    <xf numFmtId="0" fontId="0" fillId="15" borderId="44" xfId="0" applyFill="1" applyBorder="1">
      <alignment vertical="center"/>
    </xf>
    <xf numFmtId="0" fontId="36" fillId="16" borderId="22" xfId="0" applyFill="1" applyBorder="1" applyAlignment="1">
      <alignment horizontal="center" vertical="center"/>
    </xf>
    <xf numFmtId="0" fontId="0" fillId="0" borderId="60" xfId="0" applyBorder="1" applyAlignment="1">
      <alignment horizontal="center" vertical="center"/>
    </xf>
    <xf numFmtId="0" fontId="0" fillId="0" borderId="62" xfId="0" applyBorder="1" applyAlignment="1">
      <alignment horizontal="center" vertical="center"/>
    </xf>
    <xf numFmtId="0" fontId="35" fillId="5" borderId="23" xfId="0" applyFill="1" applyBorder="1" applyAlignment="1">
      <alignment horizontal="center" vertical="center"/>
    </xf>
    <xf numFmtId="0" fontId="33" fillId="0" borderId="23" xfId="0" applyBorder="1">
      <alignment vertical="center"/>
    </xf>
    <xf numFmtId="0" fontId="33" fillId="0" borderId="9" xfId="0" applyBorder="1">
      <alignment vertical="center"/>
    </xf>
    <xf numFmtId="0" fontId="35" fillId="16" borderId="28" xfId="0" applyFill="1" applyBorder="1" applyAlignment="1">
      <alignment vertical="center"/>
    </xf>
    <xf numFmtId="0" fontId="35" fillId="16" borderId="23" xfId="0" applyFill="1" applyBorder="1" applyAlignment="1">
      <alignment vertical="center"/>
    </xf>
    <xf numFmtId="0" fontId="33" fillId="0" borderId="61" xfId="0" applyBorder="1" applyAlignment="1">
      <alignment horizontal="center" vertical="center"/>
    </xf>
    <xf numFmtId="0" fontId="35" fillId="16" borderId="63" xfId="0" applyFill="1" applyBorder="1" applyAlignment="1">
      <alignment vertical="center"/>
    </xf>
    <xf numFmtId="0" fontId="0" fillId="16" borderId="1" xfId="0" applyFill="1" applyBorder="1" applyAlignment="1">
      <alignment horizontal="center" vertical="center"/>
    </xf>
    <xf numFmtId="0" fontId="0" fillId="16" borderId="1" xfId="0" quotePrefix="1" applyFill="1" applyBorder="1" applyAlignment="1">
      <alignment horizontal="center" vertical="center"/>
    </xf>
    <xf numFmtId="0" fontId="0" fillId="58" borderId="1" xfId="0" applyFill="1" applyBorder="1" applyAlignment="1">
      <alignment horizontal="center" vertical="center"/>
    </xf>
    <xf numFmtId="0" fontId="0" fillId="59" borderId="1" xfId="0" applyFill="1" applyBorder="1" applyAlignment="1">
      <alignment horizontal="center" vertical="center"/>
    </xf>
    <xf numFmtId="0" fontId="0" fillId="42" borderId="1" xfId="0" applyFill="1" applyBorder="1" applyAlignment="1">
      <alignment horizontal="center" vertical="center"/>
    </xf>
    <xf numFmtId="0" fontId="0" fillId="58" borderId="1" xfId="0" quotePrefix="1" applyFill="1" applyBorder="1" applyAlignment="1">
      <alignment horizontal="center" vertical="center"/>
    </xf>
    <xf numFmtId="0" fontId="35" fillId="42" borderId="1" xfId="0" applyFill="1" applyBorder="1" applyAlignment="1">
      <alignment horizontal="center" vertical="center"/>
    </xf>
    <xf numFmtId="0" fontId="40" fillId="22" borderId="1" xfId="0" applyFill="1" applyBorder="1" applyAlignment="1">
      <alignment horizontal="center" vertical="center"/>
    </xf>
    <xf numFmtId="0" fontId="40" fillId="22" borderId="28" xfId="0" applyFill="1" applyBorder="1" applyAlignment="1">
      <alignment horizontal="center" vertical="center"/>
    </xf>
    <xf numFmtId="0" fontId="40" fillId="10" borderId="1" xfId="0" applyFill="1" applyBorder="1" applyAlignment="1">
      <alignment horizontal="center" vertical="center"/>
    </xf>
    <xf numFmtId="0" fontId="40" fillId="10" borderId="28" xfId="0" applyFill="1" applyBorder="1" applyAlignment="1">
      <alignment horizontal="center" vertical="center"/>
    </xf>
    <xf numFmtId="0" fontId="0" fillId="10" borderId="0" xfId="0" applyFill="1" applyAlignment="1">
      <alignment horizontal="center" vertical="center"/>
    </xf>
    <xf numFmtId="0" fontId="0" fillId="4" borderId="0" xfId="0" applyFill="1" applyBorder="1" applyAlignment="1">
      <alignment horizontal="center" vertical="center"/>
    </xf>
    <xf numFmtId="0" fontId="4" fillId="4" borderId="0" xfId="0" applyFill="1" applyBorder="1" applyAlignment="1">
      <alignment horizontal="center" vertical="center"/>
    </xf>
    <xf numFmtId="0" fontId="0" fillId="13" borderId="0" xfId="0" applyFill="1" applyBorder="1" applyAlignment="1">
      <alignment horizontal="center" vertical="center"/>
    </xf>
    <xf numFmtId="0" fontId="42" fillId="0" borderId="64" xfId="0" applyFill="1" applyBorder="1" applyAlignment="1">
      <alignment horizontal="center" vertical="center" wrapText="1"/>
    </xf>
    <xf numFmtId="0" fontId="42" fillId="0" borderId="65" xfId="0" applyFill="1" applyBorder="1" applyAlignment="1">
      <alignment horizontal="center" vertical="center" wrapText="1"/>
    </xf>
    <xf numFmtId="0" fontId="43" fillId="0" borderId="64" xfId="0" applyFill="1" applyBorder="1" applyAlignment="1">
      <alignment horizontal="center" vertical="center" wrapText="1"/>
    </xf>
    <xf numFmtId="0" fontId="43" fillId="0" borderId="65" xfId="0" applyFill="1" applyBorder="1" applyAlignment="1">
      <alignment horizontal="center" vertical="center" wrapText="1"/>
    </xf>
    <xf numFmtId="0" fontId="44" fillId="0" borderId="65" xfId="0" applyFill="1" applyBorder="1" applyAlignment="1">
      <alignment vertical="center" wrapText="1"/>
    </xf>
    <xf numFmtId="0" fontId="0" fillId="5" borderId="0" xfId="0" applyFill="1" applyAlignment="1">
      <alignment horizontal="center" vertical="center"/>
    </xf>
    <xf numFmtId="0" fontId="0" fillId="5" borderId="12" xfId="0" applyFill="1" applyBorder="1" applyAlignment="1">
      <alignment horizontal="center" vertical="center"/>
    </xf>
    <xf numFmtId="0" fontId="0" fillId="8" borderId="0" xfId="0" applyFill="1" applyAlignment="1">
      <alignment horizontal="center" vertical="center"/>
    </xf>
    <xf numFmtId="0" fontId="0" fillId="8" borderId="12" xfId="0" applyFill="1" applyBorder="1" applyAlignment="1">
      <alignment horizontal="center" vertical="center"/>
    </xf>
    <xf numFmtId="0" fontId="0" fillId="8" borderId="1" xfId="0" applyFill="1" applyBorder="1" applyAlignment="1">
      <alignment horizontal="center" vertical="center"/>
    </xf>
    <xf numFmtId="0" fontId="0" fillId="7" borderId="0" xfId="0" applyFill="1" applyAlignment="1">
      <alignment vertical="center" wrapText="1"/>
    </xf>
    <xf numFmtId="0" fontId="0" fillId="7" borderId="0" xfId="0" applyFill="1" applyBorder="1" applyAlignment="1">
      <alignment horizontal="center" vertical="center" wrapText="1"/>
    </xf>
    <xf numFmtId="0" fontId="0" fillId="7" borderId="0" xfId="0" applyFill="1" applyBorder="1" applyAlignment="1">
      <alignment horizontal="left" vertical="center" wrapText="1"/>
    </xf>
    <xf numFmtId="0" fontId="0" fillId="7" borderId="0" xfId="0" applyFill="1" applyBorder="1" applyAlignment="1">
      <alignment horizontal="left" vertical="center"/>
    </xf>
    <xf numFmtId="0" fontId="0" fillId="0" borderId="0" xfId="0" applyBorder="1" applyAlignment="1">
      <alignment horizontal="left" vertical="center"/>
    </xf>
    <xf numFmtId="0" fontId="4" fillId="0" borderId="0" xfId="0" applyBorder="1" applyAlignment="1">
      <alignment vertical="center"/>
    </xf>
    <xf numFmtId="0" fontId="43" fillId="6" borderId="65" xfId="0" applyFill="1" applyBorder="1" applyAlignment="1">
      <alignment horizontal="center" vertical="center" wrapText="1"/>
    </xf>
    <xf numFmtId="0" fontId="43" fillId="6" borderId="1" xfId="0" applyFill="1" applyBorder="1" applyAlignment="1">
      <alignment horizontal="center" vertical="center" wrapText="1"/>
    </xf>
    <xf numFmtId="0" fontId="43" fillId="0" borderId="66" xfId="0" applyFill="1" applyBorder="1" applyAlignment="1">
      <alignment horizontal="center" vertical="center" wrapText="1"/>
    </xf>
    <xf numFmtId="0" fontId="43" fillId="0" borderId="67" xfId="0" applyFill="1" applyBorder="1" applyAlignment="1">
      <alignment horizontal="center" vertical="center" wrapText="1"/>
    </xf>
    <xf numFmtId="0" fontId="43" fillId="0" borderId="68" xfId="0" applyFill="1" applyBorder="1" applyAlignment="1">
      <alignment horizontal="center" vertical="center" wrapText="1"/>
    </xf>
    <xf numFmtId="0" fontId="43" fillId="0" borderId="65" xfId="0" applyFill="1" applyBorder="1" applyAlignment="1">
      <alignment horizontal="left" vertical="center" wrapText="1"/>
    </xf>
    <xf numFmtId="0" fontId="43" fillId="0" borderId="1" xfId="0" applyFill="1" applyBorder="1" applyAlignment="1">
      <alignment horizontal="left" vertical="center" wrapText="1"/>
    </xf>
    <xf numFmtId="0" fontId="43" fillId="0" borderId="1" xfId="0" applyFill="1" applyBorder="1" applyAlignment="1">
      <alignment horizontal="center" vertical="center" wrapText="1"/>
    </xf>
    <xf numFmtId="0" fontId="43" fillId="6" borderId="1" xfId="0" applyFill="1" applyBorder="1" applyAlignment="1">
      <alignment horizontal="left" vertical="center" wrapText="1"/>
    </xf>
    <xf numFmtId="0" fontId="43" fillId="6" borderId="65" xfId="0" applyFill="1" applyBorder="1" applyAlignment="1">
      <alignment horizontal="left" vertical="center" wrapText="1"/>
    </xf>
    <xf numFmtId="0" fontId="4" fillId="46" borderId="1" xfId="0" applyFill="1" applyBorder="1" applyAlignment="1">
      <alignment horizontal="center" vertical="center" wrapText="1"/>
    </xf>
    <xf numFmtId="0" fontId="4" fillId="46" borderId="1" xfId="0" applyFill="1" applyBorder="1" applyAlignment="1">
      <alignment horizontal="center" vertical="center"/>
    </xf>
    <xf numFmtId="0" fontId="43" fillId="7" borderId="1" xfId="0" applyFill="1" applyBorder="1" applyAlignment="1">
      <alignment horizontal="center" vertical="center" wrapText="1"/>
    </xf>
    <xf numFmtId="0" fontId="43" fillId="7" borderId="1" xfId="0" applyFill="1" applyBorder="1" applyAlignment="1">
      <alignment horizontal="left" vertical="center" wrapText="1"/>
    </xf>
    <xf numFmtId="0" fontId="4" fillId="32" borderId="1" xfId="0" applyFill="1" applyBorder="1" applyAlignment="1">
      <alignment horizontal="center" vertical="center"/>
    </xf>
    <xf numFmtId="0" fontId="0" fillId="32" borderId="0" xfId="0" applyFill="1">
      <alignment vertical="center"/>
    </xf>
    <xf numFmtId="0" fontId="0" fillId="5" borderId="0" xfId="0" applyFill="1">
      <alignment vertical="center"/>
    </xf>
    <xf numFmtId="0" fontId="0" fillId="10" borderId="0" xfId="0" applyFill="1">
      <alignment vertical="center"/>
    </xf>
    <xf numFmtId="0" fontId="0" fillId="32" borderId="0" xfId="0" applyFill="1" applyAlignment="1">
      <alignment horizontal="center" vertical="center"/>
    </xf>
    <xf numFmtId="0" fontId="0" fillId="32" borderId="0" xfId="0" applyFill="1" applyAlignment="1">
      <alignment vertical="center"/>
    </xf>
    <xf numFmtId="0" fontId="4" fillId="61" borderId="1" xfId="0" applyFill="1" applyBorder="1" applyAlignment="1">
      <alignment horizontal="center" vertical="center"/>
    </xf>
    <xf numFmtId="186" fontId="47" fillId="0" borderId="0" xfId="0" applyNumberFormat="1" applyFill="1" applyBorder="1" applyAlignment="1">
      <alignment horizontal="center" vertical="center"/>
    </xf>
    <xf numFmtId="0" fontId="0" fillId="10" borderId="0" xfId="0" applyFill="1" applyBorder="1" applyAlignment="1">
      <alignment horizontal="center" vertical="center"/>
    </xf>
    <xf numFmtId="0" fontId="0" fillId="52" borderId="0" xfId="0" applyFill="1" applyAlignment="1">
      <alignment horizontal="center" vertical="center"/>
    </xf>
    <xf numFmtId="0" fontId="0" fillId="7" borderId="0" xfId="0" applyFill="1" applyAlignment="1">
      <alignment vertical="center"/>
    </xf>
    <xf numFmtId="0" fontId="0" fillId="7" borderId="0" xfId="0" applyFill="1" applyBorder="1" applyAlignment="1">
      <alignment vertical="center"/>
    </xf>
    <xf numFmtId="0" fontId="0" fillId="52" borderId="0" xfId="0" applyFill="1" applyBorder="1" applyAlignment="1">
      <alignment horizontal="center" vertical="center"/>
    </xf>
    <xf numFmtId="0" fontId="4" fillId="52" borderId="0" xfId="0" applyFill="1" applyAlignment="1">
      <alignment horizontal="center" vertical="center"/>
    </xf>
    <xf numFmtId="0" fontId="0" fillId="52" borderId="0" xfId="0" applyFill="1">
      <alignment vertical="center"/>
    </xf>
    <xf numFmtId="0" fontId="2" fillId="7" borderId="0" xfId="0" applyFill="1" applyAlignment="1">
      <alignment horizontal="center" vertical="center"/>
    </xf>
    <xf numFmtId="0" fontId="8" fillId="50" borderId="1" xfId="0" applyFill="1" applyBorder="1" applyAlignment="1">
      <alignment horizontal="center" vertical="center"/>
    </xf>
    <xf numFmtId="0" fontId="0" fillId="7" borderId="5" xfId="0" applyFill="1" applyBorder="1">
      <alignment vertical="center"/>
    </xf>
    <xf numFmtId="0" fontId="33" fillId="7" borderId="23" xfId="0" applyFill="1" applyBorder="1">
      <alignment vertical="center"/>
    </xf>
    <xf numFmtId="0" fontId="33" fillId="7" borderId="9" xfId="0" applyFill="1" applyBorder="1">
      <alignment vertical="center"/>
    </xf>
    <xf numFmtId="0" fontId="33" fillId="7" borderId="28" xfId="0" applyFill="1" applyBorder="1" applyAlignment="1">
      <alignment horizontal="center" vertical="center"/>
    </xf>
    <xf numFmtId="0" fontId="33" fillId="7" borderId="7" xfId="0" applyFill="1" applyBorder="1">
      <alignment vertical="center"/>
    </xf>
    <xf numFmtId="0" fontId="33" fillId="7" borderId="1" xfId="0" applyFill="1" applyBorder="1">
      <alignment vertical="center"/>
    </xf>
    <xf numFmtId="0" fontId="33" fillId="7" borderId="0" xfId="0" applyFill="1" applyBorder="1">
      <alignment vertical="center"/>
    </xf>
    <xf numFmtId="0" fontId="4" fillId="48" borderId="1" xfId="0" applyFill="1" applyBorder="1" applyAlignment="1">
      <alignment horizontal="center" vertical="center"/>
    </xf>
    <xf numFmtId="0" fontId="4" fillId="48" borderId="0" xfId="0" applyFill="1" applyBorder="1" applyAlignment="1">
      <alignment horizontal="center" vertical="center"/>
    </xf>
    <xf numFmtId="0" fontId="0" fillId="48" borderId="1" xfId="0" applyFill="1" applyBorder="1" applyAlignment="1">
      <alignment horizontal="center" vertical="center"/>
    </xf>
    <xf numFmtId="0" fontId="35" fillId="46" borderId="1" xfId="0" applyFill="1" applyBorder="1" applyAlignment="1">
      <alignment horizontal="center" vertical="center"/>
    </xf>
    <xf numFmtId="0" fontId="35" fillId="41" borderId="1" xfId="0" applyFill="1" applyBorder="1" applyAlignment="1">
      <alignment horizontal="center" vertical="center"/>
    </xf>
    <xf numFmtId="0" fontId="4" fillId="0" borderId="0" xfId="0" applyAlignment="1">
      <alignment vertical="center"/>
    </xf>
    <xf numFmtId="0" fontId="0" fillId="7" borderId="0" xfId="0" applyFill="1" applyAlignment="1">
      <alignment horizontal="center" vertical="center" wrapText="1"/>
    </xf>
    <xf numFmtId="0" fontId="4" fillId="7" borderId="0" xfId="0" applyFill="1" applyBorder="1" applyAlignment="1">
      <alignment horizontal="center" vertical="center" wrapText="1"/>
    </xf>
    <xf numFmtId="0" fontId="48" fillId="7" borderId="0" xfId="0" applyFill="1" applyBorder="1" applyAlignment="1">
      <alignment horizontal="center" vertical="center" wrapText="1"/>
    </xf>
    <xf numFmtId="0" fontId="35" fillId="5" borderId="69" xfId="0" applyFill="1" applyBorder="1" applyAlignment="1">
      <alignment horizontal="center" vertical="center"/>
    </xf>
    <xf numFmtId="0" fontId="6" fillId="7" borderId="1" xfId="0" applyFill="1" applyBorder="1" applyAlignment="1">
      <alignment horizontal="center" vertical="center"/>
    </xf>
    <xf numFmtId="176" fontId="0" fillId="0" borderId="0" xfId="0" applyNumberFormat="1">
      <alignment vertical="center"/>
    </xf>
    <xf numFmtId="176" fontId="0" fillId="0" borderId="0" xfId="0" applyNumberFormat="1" applyAlignment="1">
      <alignment horizontal="center" vertical="center"/>
    </xf>
    <xf numFmtId="0" fontId="4" fillId="0" borderId="10" xfId="0" applyBorder="1" applyAlignment="1">
      <alignment horizontal="center" vertical="center"/>
    </xf>
    <xf numFmtId="0" fontId="0" fillId="10" borderId="10" xfId="0" applyFill="1" applyBorder="1" applyAlignment="1">
      <alignment horizontal="center" vertical="center"/>
    </xf>
    <xf numFmtId="0" fontId="0" fillId="6" borderId="12" xfId="0" applyFill="1" applyBorder="1" applyAlignment="1">
      <alignment horizontal="center" vertical="center"/>
    </xf>
    <xf numFmtId="65" fontId="0" fillId="0" borderId="0" xfId="0" applyNumberFormat="1">
      <alignment vertical="center"/>
    </xf>
    <xf numFmtId="65" fontId="0" fillId="0" borderId="0" xfId="0" applyNumberFormat="1" applyAlignment="1">
      <alignment horizontal="center" vertical="center"/>
    </xf>
    <xf numFmtId="65" fontId="0" fillId="0" borderId="0" xfId="0" applyNumberFormat="1" applyAlignment="1">
      <alignment vertical="center"/>
    </xf>
    <xf numFmtId="0" fontId="4" fillId="32" borderId="0" xfId="0" applyFill="1" applyAlignment="1">
      <alignment horizontal="center" vertical="center"/>
    </xf>
    <xf numFmtId="0" fontId="0" fillId="23" borderId="0" xfId="0" applyFill="1" applyAlignment="1">
      <alignment horizontal="center" vertical="center"/>
    </xf>
    <xf numFmtId="0" fontId="4" fillId="23" borderId="0" xfId="0" applyFill="1" applyAlignment="1">
      <alignment horizontal="center" vertical="center"/>
    </xf>
    <xf numFmtId="0" fontId="0" fillId="0" borderId="0" xfId="0" applyBorder="1" applyAlignment="1">
      <alignment horizontal="left" vertical="center" wrapText="1"/>
    </xf>
    <xf numFmtId="0" fontId="4" fillId="0" borderId="0" xfId="0" applyBorder="1" applyAlignment="1">
      <alignment horizontal="left" vertical="center" wrapText="1"/>
    </xf>
    <xf numFmtId="176" fontId="0" fillId="0" borderId="0" xfId="0" applyNumberFormat="1" applyBorder="1" applyAlignment="1">
      <alignment horizontal="left" vertical="center" wrapText="1"/>
    </xf>
    <xf numFmtId="176" fontId="0" fillId="0" borderId="0" xfId="0" applyNumberFormat="1" applyBorder="1" applyAlignment="1">
      <alignment horizontal="center" vertical="center" wrapText="1"/>
    </xf>
    <xf numFmtId="0" fontId="0" fillId="0" borderId="1" xfId="0" applyBorder="1" applyAlignment="1">
      <alignment vertical="center" wrapText="1"/>
    </xf>
    <xf numFmtId="0" fontId="0" fillId="0" borderId="1" xfId="0" quotePrefix="1" applyBorder="1" applyAlignment="1">
      <alignment vertical="center" wrapText="1"/>
    </xf>
    <xf numFmtId="0" fontId="0" fillId="0" borderId="1" xfId="0" quotePrefix="1" applyBorder="1">
      <alignment vertical="center"/>
    </xf>
    <xf numFmtId="176" fontId="0" fillId="0" borderId="1" xfId="0" applyNumberFormat="1" applyBorder="1" applyAlignment="1">
      <alignment horizontal="center" vertical="center" wrapText="1"/>
    </xf>
    <xf numFmtId="0" fontId="35" fillId="32" borderId="1" xfId="0" applyFill="1" applyBorder="1" applyAlignment="1">
      <alignment horizontal="center" vertical="center"/>
    </xf>
    <xf numFmtId="0" fontId="4" fillId="10" borderId="12" xfId="0" applyFill="1" applyBorder="1" applyAlignment="1">
      <alignment horizontal="center" vertical="center"/>
    </xf>
    <xf numFmtId="0" fontId="35" fillId="22" borderId="27" xfId="0" applyFill="1" applyBorder="1" applyAlignment="1">
      <alignment horizontal="center" vertical="center"/>
    </xf>
    <xf numFmtId="0" fontId="35" fillId="62" borderId="27" xfId="0" applyFill="1" applyBorder="1" applyAlignment="1">
      <alignment horizontal="center" vertical="center"/>
    </xf>
    <xf numFmtId="0" fontId="0" fillId="32" borderId="1" xfId="0" applyFill="1" applyBorder="1" applyAlignment="1">
      <alignment horizontal="center" vertical="center"/>
    </xf>
    <xf numFmtId="0" fontId="35" fillId="63" borderId="1" xfId="0" applyFill="1" applyBorder="1" applyAlignment="1">
      <alignment horizontal="center" vertical="center"/>
    </xf>
    <xf numFmtId="0" fontId="0" fillId="63" borderId="1" xfId="0" applyFill="1" applyBorder="1" applyAlignment="1">
      <alignment horizontal="center" vertical="center"/>
    </xf>
    <xf numFmtId="65" fontId="4" fillId="0" borderId="0" xfId="0" applyNumberFormat="1" applyAlignment="1">
      <alignment horizontal="center" vertical="center"/>
    </xf>
    <xf numFmtId="65" fontId="0" fillId="0" borderId="1" xfId="0" applyNumberFormat="1" applyBorder="1" applyAlignment="1">
      <alignment horizontal="center" vertical="center"/>
    </xf>
    <xf numFmtId="0" fontId="4" fillId="5" borderId="0" xfId="0" applyFill="1" applyAlignment="1">
      <alignment horizontal="center" vertical="center"/>
    </xf>
    <xf numFmtId="0" fontId="4" fillId="5" borderId="0" xfId="0" applyFill="1">
      <alignment vertical="center"/>
    </xf>
    <xf numFmtId="0" fontId="4" fillId="5" borderId="1" xfId="0" applyFill="1" applyBorder="1">
      <alignment vertical="center"/>
    </xf>
    <xf numFmtId="65" fontId="0" fillId="0" borderId="1" xfId="0" applyNumberFormat="1" applyBorder="1" applyAlignment="1">
      <alignment vertical="center"/>
    </xf>
    <xf numFmtId="0" fontId="0" fillId="0" borderId="1" xfId="0" applyBorder="1" applyAlignment="1">
      <alignment vertical="center"/>
    </xf>
    <xf numFmtId="66" fontId="0" fillId="0" borderId="1" xfId="0" applyNumberFormat="1" applyBorder="1" applyAlignment="1">
      <alignment vertical="center"/>
    </xf>
    <xf numFmtId="0" fontId="35" fillId="52" borderId="1" xfId="0" applyFill="1" applyBorder="1" applyAlignment="1">
      <alignment horizontal="center" vertical="center"/>
    </xf>
    <xf numFmtId="0" fontId="40" fillId="32" borderId="1" xfId="0" applyFill="1" applyBorder="1" applyAlignment="1">
      <alignment horizontal="center" vertical="center"/>
    </xf>
    <xf numFmtId="0" fontId="5" fillId="7" borderId="0" xfId="0" applyFill="1" applyBorder="1" applyAlignment="1">
      <alignment horizontal="center" vertical="center"/>
    </xf>
    <xf numFmtId="0" fontId="33" fillId="6" borderId="1" xfId="0" applyFill="1" applyBorder="1" applyAlignment="1">
      <alignment horizontal="center" vertical="center"/>
    </xf>
    <xf numFmtId="0" fontId="33" fillId="6" borderId="1" xfId="0" applyFill="1" applyBorder="1" applyAlignment="1">
      <alignment horizontal="center" vertical="center" wrapText="1"/>
    </xf>
    <xf numFmtId="0" fontId="35" fillId="6" borderId="1" xfId="0" applyFill="1" applyBorder="1" applyAlignment="1">
      <alignment horizontal="center" vertical="center"/>
    </xf>
    <xf numFmtId="9" fontId="33" fillId="6" borderId="1" xfId="0" applyNumberFormat="1" applyFill="1" applyBorder="1" applyAlignment="1">
      <alignment horizontal="center" vertical="center"/>
    </xf>
    <xf numFmtId="0" fontId="0" fillId="6" borderId="5" xfId="0" applyFill="1" applyBorder="1" applyAlignment="1">
      <alignment horizontal="left" vertical="center" wrapText="1"/>
    </xf>
    <xf numFmtId="0" fontId="33" fillId="6" borderId="28" xfId="0" applyFill="1" applyBorder="1" applyAlignment="1">
      <alignment horizontal="center" vertical="center"/>
    </xf>
    <xf numFmtId="0" fontId="33" fillId="6" borderId="28" xfId="0" applyFill="1" applyBorder="1" applyAlignment="1">
      <alignment horizontal="center" vertical="center" wrapText="1"/>
    </xf>
    <xf numFmtId="0" fontId="35" fillId="6" borderId="28" xfId="0" applyFill="1" applyBorder="1" applyAlignment="1">
      <alignment horizontal="center" vertical="center"/>
    </xf>
    <xf numFmtId="9" fontId="33" fillId="6" borderId="28" xfId="0" applyNumberFormat="1" applyFill="1" applyBorder="1" applyAlignment="1">
      <alignment horizontal="center" vertical="center"/>
    </xf>
    <xf numFmtId="0" fontId="0" fillId="6" borderId="7" xfId="0" applyFill="1" applyBorder="1" applyAlignment="1">
      <alignment horizontal="left" vertical="center" wrapText="1"/>
    </xf>
    <xf numFmtId="9" fontId="0" fillId="6" borderId="5" xfId="0" applyNumberFormat="1" applyFill="1" applyBorder="1" applyAlignment="1">
      <alignment horizontal="left" vertical="center"/>
    </xf>
    <xf numFmtId="9" fontId="0" fillId="6" borderId="5" xfId="0" applyNumberFormat="1" applyFill="1" applyBorder="1" applyAlignment="1">
      <alignment horizontal="left" vertical="center" wrapText="1"/>
    </xf>
    <xf numFmtId="9" fontId="0" fillId="6" borderId="7" xfId="0" applyNumberFormat="1" applyFill="1" applyBorder="1" applyAlignment="1">
      <alignment horizontal="left" vertical="center"/>
    </xf>
    <xf numFmtId="0" fontId="33" fillId="23" borderId="1" xfId="0" applyFill="1" applyBorder="1" applyAlignment="1">
      <alignment horizontal="center" vertical="center"/>
    </xf>
    <xf numFmtId="9" fontId="33" fillId="23" borderId="1" xfId="0" applyNumberFormat="1" applyFill="1" applyBorder="1" applyAlignment="1">
      <alignment horizontal="center" vertical="center"/>
    </xf>
    <xf numFmtId="9" fontId="0" fillId="23" borderId="5" xfId="0" applyNumberFormat="1" applyFill="1" applyBorder="1" applyAlignment="1">
      <alignment horizontal="left" vertical="center"/>
    </xf>
    <xf numFmtId="9" fontId="0" fillId="23" borderId="5" xfId="0" applyNumberFormat="1" applyFill="1" applyBorder="1" applyAlignment="1">
      <alignment horizontal="left" vertical="center" wrapText="1"/>
    </xf>
    <xf numFmtId="0" fontId="33" fillId="23" borderId="28" xfId="0" applyFill="1" applyBorder="1" applyAlignment="1">
      <alignment horizontal="center" vertical="center"/>
    </xf>
    <xf numFmtId="9" fontId="33" fillId="23" borderId="28" xfId="0" applyNumberFormat="1" applyFill="1" applyBorder="1" applyAlignment="1">
      <alignment horizontal="center" vertical="center"/>
    </xf>
    <xf numFmtId="9" fontId="0" fillId="23" borderId="7" xfId="0" applyNumberFormat="1" applyFill="1" applyBorder="1" applyAlignment="1">
      <alignment horizontal="left" vertical="center"/>
    </xf>
    <xf numFmtId="0" fontId="33" fillId="23" borderId="1" xfId="0" applyFill="1" applyBorder="1" applyAlignment="1">
      <alignment horizontal="center" vertical="center" wrapText="1"/>
    </xf>
    <xf numFmtId="0" fontId="0" fillId="23" borderId="5" xfId="0" applyFill="1" applyBorder="1" applyAlignment="1">
      <alignment horizontal="left" vertical="center" wrapText="1"/>
    </xf>
    <xf numFmtId="0" fontId="33" fillId="23" borderId="28" xfId="0" applyFill="1" applyBorder="1" applyAlignment="1">
      <alignment horizontal="center" vertical="center" wrapText="1"/>
    </xf>
    <xf numFmtId="0" fontId="0" fillId="23" borderId="7" xfId="0" applyFill="1" applyBorder="1" applyAlignment="1">
      <alignment horizontal="left" vertical="center" wrapText="1"/>
    </xf>
    <xf numFmtId="0" fontId="0" fillId="32" borderId="4" xfId="0" applyFill="1" applyBorder="1" applyAlignment="1">
      <alignment horizontal="center" vertical="center"/>
    </xf>
    <xf numFmtId="0" fontId="40" fillId="7" borderId="1" xfId="0" applyFill="1" applyBorder="1" applyAlignment="1">
      <alignment horizontal="center" vertical="center"/>
    </xf>
    <xf numFmtId="176" fontId="0" fillId="0" borderId="1" xfId="0" applyNumberFormat="1" applyBorder="1" applyAlignment="1">
      <alignment horizontal="left" vertical="center" wrapText="1"/>
    </xf>
    <xf numFmtId="0" fontId="0" fillId="0" borderId="0" xfId="0" applyAlignment="1">
      <alignment horizontal="center" vertical="center" wrapText="1"/>
    </xf>
    <xf numFmtId="0" fontId="4" fillId="0" borderId="0" xfId="0" applyAlignment="1">
      <alignment horizontal="center" vertical="center" wrapText="1"/>
    </xf>
    <xf numFmtId="0" fontId="0" fillId="0" borderId="1" xfId="0" quotePrefix="1" applyBorder="1" applyAlignment="1">
      <alignment horizontal="left" vertical="center"/>
    </xf>
    <xf numFmtId="0" fontId="8" fillId="32" borderId="1" xfId="0" applyFill="1" applyBorder="1" applyAlignment="1">
      <alignment horizontal="center" vertical="center"/>
    </xf>
    <xf numFmtId="0" fontId="0" fillId="22" borderId="1" xfId="0" applyFill="1" applyBorder="1">
      <alignment vertical="center"/>
    </xf>
    <xf numFmtId="67" fontId="0" fillId="0" borderId="1" xfId="0" applyNumberFormat="1" applyBorder="1" applyAlignment="1">
      <alignment horizontal="center" vertical="center"/>
    </xf>
    <xf numFmtId="68" fontId="0" fillId="0" borderId="0" xfId="0" applyNumberFormat="1" applyBorder="1" applyAlignment="1">
      <alignment horizontal="center" vertical="center"/>
    </xf>
    <xf numFmtId="0" fontId="8" fillId="22" borderId="1" xfId="0" applyFill="1" applyBorder="1" applyAlignment="1">
      <alignment horizontal="center" vertical="center" wrapText="1"/>
    </xf>
    <xf numFmtId="0" fontId="4" fillId="10" borderId="0" xfId="0" applyFill="1" applyAlignment="1">
      <alignment horizontal="center" vertical="center"/>
    </xf>
    <xf numFmtId="0" fontId="4" fillId="0" borderId="23" xfId="0" applyBorder="1" applyAlignment="1">
      <alignment horizontal="center" vertical="center"/>
    </xf>
    <xf numFmtId="0" fontId="0" fillId="64" borderId="1" xfId="0" applyFill="1" applyBorder="1" applyAlignment="1">
      <alignment horizontal="center" vertical="center"/>
    </xf>
    <xf numFmtId="0" fontId="35" fillId="65" borderId="1" xfId="0" applyFill="1" applyBorder="1" applyAlignment="1">
      <alignment horizontal="center" vertical="center"/>
    </xf>
    <xf numFmtId="9" fontId="4" fillId="0" borderId="0" xfId="0" applyNumberFormat="1" applyAlignment="1">
      <alignment horizontal="center" vertical="center"/>
    </xf>
    <xf numFmtId="0" fontId="0" fillId="23" borderId="0" xfId="0" applyAlignment="1">
      <alignment horizontal="center" vertical="center"/>
    </xf>
    <xf numFmtId="0" fontId="0" fillId="42" borderId="1" xfId="0" applyFill="1" applyBorder="1" applyAlignment="1">
      <alignment horizontal="left" vertical="center" wrapText="1"/>
    </xf>
    <xf numFmtId="0" fontId="0" fillId="42" borderId="1" xfId="0" applyFill="1" applyBorder="1" applyAlignment="1">
      <alignment vertical="center" wrapText="1"/>
    </xf>
    <xf numFmtId="0" fontId="8" fillId="42" borderId="1" xfId="0" applyFill="1" applyBorder="1" applyAlignment="1">
      <alignment horizontal="center" vertical="center" wrapText="1"/>
    </xf>
    <xf numFmtId="0" fontId="0" fillId="48" borderId="0" xfId="0" applyFill="1" applyBorder="1" applyAlignment="1">
      <alignment horizontal="center" vertical="center"/>
    </xf>
    <xf numFmtId="0" fontId="0" fillId="7" borderId="0" xfId="0" applyAlignment="1">
      <alignment horizontal="center" vertical="center"/>
    </xf>
    <xf numFmtId="0" fontId="0" fillId="7" borderId="0" xfId="0">
      <alignment vertical="center"/>
    </xf>
    <xf numFmtId="178" fontId="0" fillId="0" borderId="0" xfId="0" applyAlignment="1">
      <alignment horizontal="center" vertical="center"/>
    </xf>
    <xf numFmtId="69" fontId="0" fillId="23" borderId="0" xfId="0" applyNumberFormat="1" applyAlignment="1">
      <alignment horizontal="center" vertical="center"/>
    </xf>
    <xf numFmtId="69" fontId="0" fillId="0" borderId="0" xfId="0" applyNumberFormat="1" applyAlignment="1">
      <alignment horizontal="center" vertical="center"/>
    </xf>
    <xf numFmtId="69" fontId="0" fillId="7" borderId="0" xfId="0" applyNumberFormat="1" applyAlignment="1">
      <alignment horizontal="center" vertical="center"/>
    </xf>
    <xf numFmtId="69" fontId="4" fillId="61" borderId="1" xfId="0" applyNumberFormat="1" applyFill="1" applyBorder="1" applyAlignment="1">
      <alignment horizontal="center" vertical="center"/>
    </xf>
    <xf numFmtId="69" fontId="4" fillId="7" borderId="1" xfId="0" applyNumberFormat="1" applyFill="1" applyBorder="1" applyAlignment="1">
      <alignment horizontal="center" vertical="center" wrapText="1"/>
    </xf>
    <xf numFmtId="69" fontId="4" fillId="7" borderId="1" xfId="0" applyNumberFormat="1" applyFill="1" applyBorder="1" applyAlignment="1">
      <alignment horizontal="center" vertical="center"/>
    </xf>
    <xf numFmtId="69" fontId="4" fillId="0" borderId="1" xfId="0" applyNumberFormat="1" applyBorder="1" applyAlignment="1">
      <alignment horizontal="center" vertical="center"/>
    </xf>
    <xf numFmtId="69" fontId="4" fillId="4" borderId="1" xfId="0" applyNumberFormat="1" applyFill="1" applyBorder="1" applyAlignment="1">
      <alignment horizontal="center" vertical="center"/>
    </xf>
    <xf numFmtId="69" fontId="4" fillId="3" borderId="1" xfId="0" applyNumberFormat="1" applyFill="1" applyBorder="1" applyAlignment="1">
      <alignment horizontal="center" vertical="center"/>
    </xf>
    <xf numFmtId="69" fontId="4" fillId="0" borderId="1" xfId="0" applyNumberFormat="1" applyBorder="1" applyAlignment="1">
      <alignment horizontal="center" vertical="center" wrapText="1"/>
    </xf>
    <xf numFmtId="69" fontId="4" fillId="6" borderId="1" xfId="0" applyNumberFormat="1" applyFill="1" applyBorder="1" applyAlignment="1">
      <alignment horizontal="center" vertical="center"/>
    </xf>
    <xf numFmtId="69" fontId="4" fillId="4" borderId="1" xfId="0" applyNumberFormat="1" applyFill="1" applyBorder="1" applyAlignment="1">
      <alignment horizontal="center" vertical="center" wrapText="1"/>
    </xf>
    <xf numFmtId="69" fontId="4" fillId="13" borderId="1" xfId="0" applyNumberFormat="1" applyFill="1" applyBorder="1" applyAlignment="1">
      <alignment horizontal="center" vertical="center"/>
    </xf>
    <xf numFmtId="0" fontId="0" fillId="7" borderId="0" xfId="0" quotePrefix="1" applyFill="1" applyBorder="1" applyAlignment="1">
      <alignment horizontal="center" vertical="center"/>
    </xf>
    <xf numFmtId="0" fontId="0" fillId="5" borderId="0" xfId="0" quotePrefix="1" applyFill="1" applyBorder="1" applyAlignment="1">
      <alignment horizontal="center" vertical="center"/>
    </xf>
    <xf numFmtId="0" fontId="0" fillId="5" borderId="0" xfId="0" applyFill="1" applyBorder="1" applyAlignment="1">
      <alignment horizontal="center" vertical="center"/>
    </xf>
    <xf numFmtId="0" fontId="0" fillId="10" borderId="0" xfId="0" quotePrefix="1" applyFill="1" applyBorder="1" applyAlignment="1">
      <alignment horizontal="center" vertical="center"/>
    </xf>
    <xf numFmtId="69" fontId="0" fillId="7" borderId="0" xfId="0" applyNumberFormat="1" applyFill="1" applyAlignment="1">
      <alignment horizontal="center" vertical="center"/>
    </xf>
    <xf numFmtId="178" fontId="0" fillId="7" borderId="0" xfId="0" applyFill="1" applyAlignment="1">
      <alignment horizontal="center" vertical="center"/>
    </xf>
    <xf numFmtId="9" fontId="33" fillId="7" borderId="0" xfId="0" applyNumberFormat="1" applyFill="1" applyBorder="1" applyAlignment="1">
      <alignment horizontal="center" vertical="center"/>
    </xf>
    <xf numFmtId="0" fontId="33" fillId="7" borderId="0" xfId="0" applyFill="1" applyBorder="1" applyAlignment="1">
      <alignment horizontal="center" vertical="center"/>
    </xf>
    <xf numFmtId="0" fontId="35" fillId="7" borderId="2" xfId="0" applyFill="1" applyBorder="1" applyAlignment="1">
      <alignment horizontal="center" vertical="center"/>
    </xf>
    <xf numFmtId="0" fontId="33" fillId="7" borderId="27" xfId="0" applyFill="1" applyBorder="1" applyAlignment="1">
      <alignment horizontal="center" vertical="center"/>
    </xf>
    <xf numFmtId="0" fontId="36" fillId="7" borderId="4" xfId="0" applyFill="1" applyBorder="1" applyAlignment="1">
      <alignment horizontal="center" vertical="center"/>
    </xf>
    <xf numFmtId="0" fontId="0" fillId="7" borderId="60" xfId="0" applyFill="1" applyBorder="1" applyAlignment="1">
      <alignment horizontal="center" vertical="center"/>
    </xf>
    <xf numFmtId="0" fontId="0" fillId="7" borderId="25" xfId="0" applyFill="1" applyBorder="1">
      <alignment vertical="center"/>
    </xf>
    <xf numFmtId="0" fontId="0" fillId="7" borderId="26" xfId="0" applyFill="1" applyBorder="1">
      <alignment vertical="center"/>
    </xf>
    <xf numFmtId="0" fontId="0" fillId="7" borderId="62" xfId="0" applyFill="1" applyBorder="1" applyAlignment="1">
      <alignment horizontal="center" vertical="center"/>
    </xf>
    <xf numFmtId="0" fontId="36" fillId="7" borderId="2" xfId="0" applyFill="1" applyBorder="1" applyAlignment="1">
      <alignment horizontal="center" vertical="center"/>
    </xf>
    <xf numFmtId="0" fontId="35" fillId="7" borderId="4" xfId="0" applyFill="1" applyBorder="1" applyAlignment="1">
      <alignment horizontal="center" vertical="center"/>
    </xf>
    <xf numFmtId="0" fontId="33" fillId="7" borderId="61" xfId="0" applyFill="1" applyBorder="1" applyAlignment="1">
      <alignment horizontal="center" vertical="center"/>
    </xf>
    <xf numFmtId="0" fontId="35" fillId="7" borderId="63" xfId="0" applyFill="1" applyBorder="1" applyAlignment="1">
      <alignment vertical="center"/>
    </xf>
    <xf numFmtId="0" fontId="35" fillId="7" borderId="29" xfId="0" applyFill="1" applyBorder="1" applyAlignment="1">
      <alignment horizontal="center" vertical="center"/>
    </xf>
    <xf numFmtId="0" fontId="33" fillId="7" borderId="22" xfId="0" applyFill="1" applyBorder="1" applyAlignment="1">
      <alignment horizontal="center" vertical="center"/>
    </xf>
    <xf numFmtId="0" fontId="35" fillId="7" borderId="6" xfId="0" applyFill="1" applyBorder="1" applyAlignment="1">
      <alignment horizontal="center" vertical="center"/>
    </xf>
    <xf numFmtId="0" fontId="36" fillId="7" borderId="0" xfId="0" applyFill="1" applyBorder="1" applyAlignment="1">
      <alignment horizontal="center" vertical="center"/>
    </xf>
    <xf numFmtId="0" fontId="35" fillId="23" borderId="12" xfId="0" applyFill="1" applyBorder="1" applyAlignment="1">
      <alignment horizontal="center" vertical="center"/>
    </xf>
    <xf numFmtId="0" fontId="35" fillId="23" borderId="70" xfId="0" applyFill="1" applyBorder="1" applyAlignment="1">
      <alignment horizontal="center" vertical="center"/>
    </xf>
    <xf numFmtId="0" fontId="35" fillId="0" borderId="12" xfId="0" applyBorder="1" applyAlignment="1">
      <alignment horizontal="center" vertical="center"/>
    </xf>
    <xf numFmtId="0" fontId="35" fillId="0" borderId="70" xfId="0" applyBorder="1" applyAlignment="1">
      <alignment horizontal="center" vertical="center"/>
    </xf>
    <xf numFmtId="0" fontId="0" fillId="23" borderId="37" xfId="0" applyFill="1" applyBorder="1" applyAlignment="1">
      <alignment horizontal="left" vertical="center" wrapText="1"/>
    </xf>
    <xf numFmtId="0" fontId="0" fillId="23" borderId="38" xfId="0" applyFill="1" applyBorder="1" applyAlignment="1">
      <alignment horizontal="left" vertical="center" wrapText="1"/>
    </xf>
    <xf numFmtId="0" fontId="35" fillId="5" borderId="0" xfId="0" applyFill="1" applyBorder="1" applyAlignment="1">
      <alignment horizontal="center" vertical="center"/>
    </xf>
    <xf numFmtId="9" fontId="0" fillId="23" borderId="0" xfId="0" applyNumberFormat="1" applyFill="1" applyBorder="1" applyAlignment="1">
      <alignment horizontal="left" vertical="center" wrapText="1"/>
    </xf>
    <xf numFmtId="9" fontId="0" fillId="23" borderId="0" xfId="0" applyNumberFormat="1" applyFill="1" applyBorder="1" applyAlignment="1">
      <alignment horizontal="left" vertical="center"/>
    </xf>
    <xf numFmtId="0" fontId="35" fillId="5" borderId="71" xfId="0" applyFill="1" applyBorder="1" applyAlignment="1">
      <alignment horizontal="center" vertical="center"/>
    </xf>
    <xf numFmtId="0" fontId="0" fillId="0" borderId="37" xfId="0" applyBorder="1" applyAlignment="1">
      <alignment horizontal="left" vertical="center" wrapText="1"/>
    </xf>
    <xf numFmtId="0" fontId="0" fillId="0" borderId="38" xfId="0" applyBorder="1" applyAlignment="1">
      <alignment horizontal="left" vertical="center" wrapText="1"/>
    </xf>
    <xf numFmtId="0" fontId="4" fillId="26" borderId="1" xfId="0" applyFill="1" applyBorder="1" applyAlignment="1">
      <alignment horizontal="center" vertical="center"/>
    </xf>
    <xf numFmtId="0" fontId="0" fillId="26" borderId="1" xfId="0" applyFill="1" applyBorder="1" applyAlignment="1">
      <alignment horizontal="center" vertical="center"/>
    </xf>
    <xf numFmtId="0" fontId="34" fillId="23" borderId="5" xfId="0" applyFill="1" applyBorder="1" applyAlignment="1">
      <alignment horizontal="left" vertical="center" wrapText="1"/>
    </xf>
    <xf numFmtId="0" fontId="34" fillId="23" borderId="7" xfId="0" applyFill="1" applyBorder="1" applyAlignment="1">
      <alignment horizontal="left" vertical="center" wrapText="1"/>
    </xf>
    <xf numFmtId="0" fontId="34" fillId="23" borderId="5" xfId="0" applyFill="1" applyBorder="1" applyAlignment="1">
      <alignment horizontal="left" vertical="center"/>
    </xf>
    <xf numFmtId="0" fontId="34" fillId="23" borderId="7" xfId="0" applyFill="1" applyBorder="1" applyAlignment="1">
      <alignment horizontal="left" vertical="center"/>
    </xf>
    <xf numFmtId="0" fontId="5" fillId="54" borderId="2" xfId="0" applyFill="1" applyBorder="1" applyAlignment="1">
      <alignment horizontal="center" vertical="center"/>
    </xf>
    <xf numFmtId="0" fontId="4" fillId="66" borderId="2" xfId="0" applyFill="1" applyBorder="1" applyAlignment="1">
      <alignment horizontal="center" vertical="center"/>
    </xf>
    <xf numFmtId="9" fontId="34" fillId="23" borderId="5" xfId="0" applyNumberFormat="1" applyFill="1" applyBorder="1" applyAlignment="1">
      <alignment horizontal="left" vertical="center" wrapText="1"/>
    </xf>
    <xf numFmtId="9" fontId="34" fillId="23" borderId="5" xfId="0" applyNumberFormat="1" applyFill="1" applyBorder="1" applyAlignment="1">
      <alignment horizontal="left" vertical="center"/>
    </xf>
    <xf numFmtId="9" fontId="34" fillId="23" borderId="7" xfId="0" applyNumberFormat="1" applyFill="1" applyBorder="1" applyAlignment="1">
      <alignment horizontal="left" vertical="center"/>
    </xf>
    <xf numFmtId="0" fontId="34" fillId="7" borderId="5" xfId="0" applyFill="1" applyBorder="1" applyAlignment="1">
      <alignment horizontal="left" vertical="center" wrapText="1"/>
    </xf>
    <xf numFmtId="0" fontId="34" fillId="7" borderId="7" xfId="0" applyFill="1" applyBorder="1" applyAlignment="1">
      <alignment horizontal="left" vertical="center" wrapText="1"/>
    </xf>
    <xf numFmtId="9" fontId="34" fillId="7" borderId="5" xfId="0" applyNumberFormat="1" applyFill="1" applyBorder="1" applyAlignment="1">
      <alignment horizontal="left" vertical="center" wrapText="1"/>
    </xf>
    <xf numFmtId="9" fontId="34" fillId="7" borderId="5" xfId="0" applyNumberFormat="1" applyFill="1" applyBorder="1" applyAlignment="1">
      <alignment horizontal="left" vertical="center"/>
    </xf>
    <xf numFmtId="9" fontId="34" fillId="7" borderId="7" xfId="0" applyNumberFormat="1" applyFill="1" applyBorder="1" applyAlignment="1">
      <alignment horizontal="left" vertical="center"/>
    </xf>
    <xf numFmtId="0" fontId="34" fillId="32" borderId="5" xfId="0" applyFill="1" applyBorder="1" applyAlignment="1">
      <alignment horizontal="left" vertical="center" wrapText="1"/>
    </xf>
    <xf numFmtId="0" fontId="34" fillId="32" borderId="7" xfId="0" applyFill="1" applyBorder="1" applyAlignment="1">
      <alignment horizontal="left" vertical="center" wrapText="1"/>
    </xf>
    <xf numFmtId="0" fontId="0" fillId="32" borderId="37" xfId="0" applyFill="1" applyBorder="1" applyAlignment="1">
      <alignment horizontal="center" vertical="center"/>
    </xf>
    <xf numFmtId="0" fontId="0" fillId="32" borderId="38" xfId="0" applyFill="1" applyBorder="1" applyAlignment="1">
      <alignment horizontal="center" vertical="center"/>
    </xf>
    <xf numFmtId="0" fontId="0" fillId="7" borderId="37" xfId="0" applyFill="1" applyBorder="1" applyAlignment="1">
      <alignment horizontal="center" vertical="center"/>
    </xf>
    <xf numFmtId="0" fontId="0" fillId="7" borderId="38" xfId="0" applyFill="1" applyBorder="1" applyAlignment="1">
      <alignment horizontal="center" vertical="center"/>
    </xf>
    <xf numFmtId="0" fontId="35" fillId="62" borderId="1" xfId="0" applyFill="1" applyBorder="1" applyAlignment="1">
      <alignment horizontal="center" vertical="center"/>
    </xf>
    <xf numFmtId="0" fontId="34" fillId="7" borderId="1" xfId="0" applyFill="1" applyBorder="1" applyAlignment="1">
      <alignment horizontal="left" vertical="center" wrapText="1"/>
    </xf>
    <xf numFmtId="0" fontId="35" fillId="62" borderId="2" xfId="0" applyFill="1" applyBorder="1" applyAlignment="1">
      <alignment horizontal="center" vertical="center"/>
    </xf>
    <xf numFmtId="0" fontId="0" fillId="7" borderId="5" xfId="0" applyFill="1" applyBorder="1" applyAlignment="1">
      <alignment horizontal="center" vertical="center"/>
    </xf>
    <xf numFmtId="0" fontId="34" fillId="7" borderId="28" xfId="0" applyFill="1" applyBorder="1" applyAlignment="1">
      <alignment horizontal="left" vertical="center" wrapText="1"/>
    </xf>
    <xf numFmtId="0" fontId="0" fillId="7" borderId="7" xfId="0" applyFill="1" applyBorder="1" applyAlignment="1">
      <alignment horizontal="center" vertical="center"/>
    </xf>
    <xf numFmtId="0" fontId="34" fillId="7" borderId="5" xfId="0" applyFill="1" applyBorder="1" applyAlignment="1">
      <alignment horizontal="center" vertical="center"/>
    </xf>
    <xf numFmtId="0" fontId="34" fillId="7" borderId="7" xfId="0" applyFill="1" applyBorder="1" applyAlignment="1">
      <alignment horizontal="center" vertical="center"/>
    </xf>
    <xf numFmtId="9" fontId="34" fillId="7" borderId="7" xfId="0" applyNumberFormat="1" applyFill="1" applyBorder="1" applyAlignment="1">
      <alignment horizontal="left" vertical="center" wrapText="1"/>
    </xf>
    <xf numFmtId="9" fontId="34" fillId="7" borderId="1" xfId="0" applyNumberFormat="1" applyFill="1" applyBorder="1" applyAlignment="1">
      <alignment horizontal="left" vertical="center" wrapText="1"/>
    </xf>
    <xf numFmtId="0" fontId="34" fillId="0" borderId="0" xfId="0" applyAlignment="1">
      <alignment horizontal="center" vertical="center"/>
    </xf>
    <xf numFmtId="0" fontId="8" fillId="0" borderId="0" xfId="0" applyAlignment="1">
      <alignment horizontal="center" vertical="center"/>
    </xf>
    <xf numFmtId="0" fontId="34" fillId="26" borderId="1" xfId="0" applyFill="1" applyBorder="1" applyAlignment="1">
      <alignment horizontal="center" vertical="center"/>
    </xf>
    <xf numFmtId="0" fontId="8" fillId="26" borderId="1" xfId="0" applyFill="1" applyBorder="1" applyAlignment="1">
      <alignment horizontal="center" vertical="center"/>
    </xf>
    <xf numFmtId="0" fontId="34" fillId="4" borderId="1" xfId="0" applyFill="1" applyBorder="1" applyAlignment="1">
      <alignment horizontal="center" vertical="center"/>
    </xf>
    <xf numFmtId="0" fontId="34" fillId="23" borderId="1" xfId="0" applyFill="1" applyBorder="1" applyAlignment="1">
      <alignment horizontal="center" vertical="center"/>
    </xf>
    <xf numFmtId="0" fontId="34" fillId="22" borderId="1" xfId="0" applyFill="1" applyBorder="1" applyAlignment="1">
      <alignment horizontal="center" vertical="center"/>
    </xf>
    <xf numFmtId="9" fontId="8" fillId="0" borderId="1" xfId="0" applyNumberFormat="1" applyBorder="1" applyAlignment="1">
      <alignment horizontal="center" vertical="center"/>
    </xf>
    <xf numFmtId="0" fontId="34" fillId="7" borderId="0" xfId="0" applyFill="1" applyBorder="1" applyAlignment="1">
      <alignment horizontal="center" vertical="center"/>
    </xf>
    <xf numFmtId="0" fontId="34" fillId="22" borderId="1" xfId="0" applyFill="1" applyBorder="1">
      <alignment vertical="center"/>
    </xf>
    <xf numFmtId="0" fontId="34" fillId="0" borderId="1" xfId="0" applyBorder="1">
      <alignment vertical="center"/>
    </xf>
    <xf numFmtId="0" fontId="33" fillId="0" borderId="0" xfId="0" applyAlignment="1">
      <alignment horizontal="center" vertical="center"/>
    </xf>
    <xf numFmtId="0" fontId="35" fillId="0" borderId="0" xfId="0" applyAlignment="1">
      <alignment horizontal="center" vertical="center"/>
    </xf>
    <xf numFmtId="0" fontId="33" fillId="26" borderId="1" xfId="0" applyFill="1" applyBorder="1" applyAlignment="1">
      <alignment horizontal="center" vertical="center"/>
    </xf>
    <xf numFmtId="0" fontId="35" fillId="26" borderId="1" xfId="0" applyFill="1" applyBorder="1" applyAlignment="1">
      <alignment horizontal="center" vertical="center"/>
    </xf>
    <xf numFmtId="0" fontId="33" fillId="4" borderId="1" xfId="0" applyFill="1" applyBorder="1" applyAlignment="1">
      <alignment horizontal="center" vertical="center"/>
    </xf>
    <xf numFmtId="0" fontId="33" fillId="22" borderId="1" xfId="0" applyFill="1" applyBorder="1" applyAlignment="1">
      <alignment horizontal="center" vertical="center"/>
    </xf>
    <xf numFmtId="9" fontId="35" fillId="0" borderId="1" xfId="0" applyNumberFormat="1" applyBorder="1" applyAlignment="1">
      <alignment horizontal="center" vertical="center"/>
    </xf>
    <xf numFmtId="0" fontId="33" fillId="22" borderId="1" xfId="0" applyFill="1" applyBorder="1">
      <alignment vertical="center"/>
    </xf>
    <xf numFmtId="0" fontId="35" fillId="22" borderId="1" xfId="0" applyFill="1" applyBorder="1" applyAlignment="1">
      <alignment horizontal="center" vertical="center" wrapText="1"/>
    </xf>
    <xf numFmtId="0" fontId="35" fillId="5" borderId="2" xfId="0" applyFill="1" applyBorder="1" applyAlignment="1">
      <alignment horizontal="center" vertical="center"/>
    </xf>
    <xf numFmtId="0" fontId="35" fillId="5" borderId="4" xfId="0" applyFill="1" applyBorder="1" applyAlignment="1">
      <alignment horizontal="center" vertical="center"/>
    </xf>
    <xf numFmtId="0" fontId="35" fillId="5" borderId="6" xfId="0" applyFill="1" applyBorder="1" applyAlignment="1">
      <alignment horizontal="center" vertical="center"/>
    </xf>
    <xf numFmtId="0" fontId="35" fillId="26" borderId="2" xfId="0" applyFill="1" applyBorder="1" applyAlignment="1">
      <alignment horizontal="center" vertical="center"/>
    </xf>
    <xf numFmtId="0" fontId="35" fillId="26" borderId="4" xfId="0" applyFill="1" applyBorder="1" applyAlignment="1">
      <alignment horizontal="center" vertical="center"/>
    </xf>
    <xf numFmtId="0" fontId="35" fillId="26" borderId="6" xfId="0" applyFill="1" applyBorder="1" applyAlignment="1">
      <alignment horizontal="center" vertical="center"/>
    </xf>
    <xf numFmtId="0" fontId="34" fillId="7" borderId="5" xfId="0" applyFill="1" applyBorder="1" applyAlignment="1">
      <alignment horizontal="center" vertical="center" wrapText="1"/>
    </xf>
    <xf numFmtId="0" fontId="34" fillId="7" borderId="7" xfId="0" applyFill="1" applyBorder="1" applyAlignment="1">
      <alignment horizontal="center" vertical="center" wrapText="1"/>
    </xf>
    <xf numFmtId="0" fontId="35" fillId="67" borderId="1" xfId="0" applyFill="1" applyBorder="1" applyAlignment="1">
      <alignment horizontal="center" vertical="center" wrapText="1"/>
    </xf>
    <xf numFmtId="0" fontId="35" fillId="10" borderId="0" xfId="0" applyFill="1" applyBorder="1" applyAlignment="1">
      <alignment horizontal="center" vertical="center"/>
    </xf>
    <xf numFmtId="0" fontId="35" fillId="62" borderId="0" xfId="0" applyFill="1" applyBorder="1" applyAlignment="1">
      <alignment horizontal="center" vertical="center"/>
    </xf>
    <xf numFmtId="0" fontId="40" fillId="42" borderId="1" xfId="0" applyFill="1" applyBorder="1" applyAlignment="1">
      <alignment horizontal="center" vertical="center"/>
    </xf>
    <xf numFmtId="0" fontId="34" fillId="7" borderId="1" xfId="0" applyFill="1" applyBorder="1" applyAlignment="1">
      <alignment horizontal="center" vertical="center" wrapText="1"/>
    </xf>
    <xf numFmtId="0" fontId="35" fillId="32" borderId="28" xfId="0" applyFill="1" applyBorder="1" applyAlignment="1">
      <alignment horizontal="center" vertical="center"/>
    </xf>
    <xf numFmtId="0" fontId="36" fillId="7" borderId="0" xfId="0" applyFill="1" applyBorder="1" applyAlignment="1">
      <alignment vertical="center"/>
    </xf>
    <xf numFmtId="68" fontId="0" fillId="7" borderId="1" xfId="0" applyNumberFormat="1" applyFill="1" applyBorder="1" applyAlignment="1">
      <alignment horizontal="center" vertical="center"/>
    </xf>
    <xf numFmtId="0" fontId="7" fillId="7" borderId="1" xfId="0" applyFill="1" applyBorder="1" applyAlignment="1">
      <alignment horizontal="center" vertical="center"/>
    </xf>
    <xf numFmtId="0" fontId="0" fillId="32" borderId="0" xfId="0">
      <alignment vertical="center"/>
    </xf>
    <xf numFmtId="0" fontId="0" fillId="32" borderId="0" xfId="0" applyBorder="1" applyAlignment="1">
      <alignment horizontal="center" vertical="center"/>
    </xf>
    <xf numFmtId="0" fontId="4" fillId="12" borderId="0" xfId="0" applyFill="1" applyBorder="1" applyAlignment="1">
      <alignment horizontal="center" vertical="center"/>
    </xf>
    <xf numFmtId="0" fontId="5" fillId="12" borderId="0" xfId="0" applyFill="1" applyBorder="1" applyAlignment="1">
      <alignment horizontal="center" vertical="center"/>
    </xf>
    <xf numFmtId="0" fontId="5" fillId="68" borderId="0" xfId="0" applyFill="1" applyBorder="1" applyAlignment="1">
      <alignment horizontal="center" vertical="center"/>
    </xf>
    <xf numFmtId="0" fontId="22" fillId="7" borderId="0" xfId="0" applyFill="1" applyBorder="1" applyAlignment="1">
      <alignment horizontal="center" vertical="center"/>
    </xf>
    <xf numFmtId="0" fontId="22" fillId="60" borderId="0" xfId="0" applyFill="1" applyBorder="1" applyAlignment="1">
      <alignment horizontal="center" vertical="center"/>
    </xf>
    <xf numFmtId="0" fontId="5" fillId="60" borderId="0" xfId="0" applyFill="1" applyBorder="1" applyAlignment="1">
      <alignment horizontal="center" vertical="center"/>
    </xf>
    <xf numFmtId="0" fontId="0" fillId="16" borderId="0" xfId="0" applyFill="1" applyBorder="1" applyAlignment="1">
      <alignment horizontal="center" vertical="center"/>
    </xf>
    <xf numFmtId="0" fontId="4" fillId="16" borderId="0" xfId="0" applyFill="1" applyBorder="1" applyAlignment="1">
      <alignment horizontal="center" vertical="center"/>
    </xf>
    <xf numFmtId="0" fontId="22" fillId="16" borderId="0" xfId="0" applyFill="1" applyBorder="1" applyAlignment="1">
      <alignment horizontal="center" vertical="center"/>
    </xf>
    <xf numFmtId="0" fontId="5" fillId="16" borderId="0" xfId="0" applyFill="1" applyBorder="1" applyAlignment="1">
      <alignment horizontal="center" vertical="center"/>
    </xf>
    <xf numFmtId="0" fontId="7" fillId="68" borderId="0" xfId="0" applyFill="1" applyBorder="1" applyAlignment="1">
      <alignment horizontal="center" vertical="center"/>
    </xf>
    <xf numFmtId="0" fontId="7" fillId="60" borderId="0" xfId="0" applyFill="1" applyBorder="1" applyAlignment="1">
      <alignment horizontal="center" vertical="center"/>
    </xf>
    <xf numFmtId="0" fontId="50" fillId="16" borderId="0" xfId="0" applyFill="1" applyBorder="1" applyAlignment="1">
      <alignment horizontal="center" vertical="center"/>
    </xf>
    <xf numFmtId="0" fontId="7" fillId="16" borderId="0" xfId="0" applyFill="1" applyBorder="1" applyAlignment="1">
      <alignment horizontal="center" vertical="center"/>
    </xf>
    <xf numFmtId="0" fontId="34" fillId="10" borderId="0" xfId="0" applyFill="1" applyBorder="1" applyAlignment="1">
      <alignment horizontal="center" vertical="center"/>
    </xf>
    <xf numFmtId="0" fontId="34" fillId="10" borderId="1" xfId="0" applyFill="1" applyBorder="1" applyAlignment="1">
      <alignment horizontal="center" vertical="center"/>
    </xf>
    <xf numFmtId="0" fontId="34" fillId="5" borderId="1" xfId="0" applyFill="1" applyBorder="1" applyAlignment="1">
      <alignment horizontal="center" vertical="center"/>
    </xf>
    <xf numFmtId="0" fontId="50" fillId="68" borderId="0" xfId="0" applyFill="1" applyBorder="1" applyAlignment="1">
      <alignment horizontal="center" vertical="center"/>
    </xf>
    <xf numFmtId="0" fontId="50" fillId="60" borderId="0" xfId="0" applyFill="1" applyBorder="1" applyAlignment="1">
      <alignment horizontal="center" vertical="center"/>
    </xf>
    <xf numFmtId="0" fontId="8" fillId="10" borderId="0" xfId="0" applyFill="1" applyBorder="1" applyAlignment="1">
      <alignment horizontal="center" vertical="center"/>
    </xf>
    <xf numFmtId="0" fontId="8" fillId="17" borderId="0" xfId="0" applyFill="1" applyBorder="1" applyAlignment="1">
      <alignment horizontal="center" vertical="center"/>
    </xf>
    <xf numFmtId="0" fontId="34" fillId="17" borderId="0" xfId="0" applyFill="1" applyBorder="1" applyAlignment="1">
      <alignment horizontal="center" vertical="center"/>
    </xf>
    <xf numFmtId="0" fontId="8" fillId="18" borderId="0" xfId="0" applyFill="1" applyBorder="1" applyAlignment="1">
      <alignment horizontal="center" vertical="center"/>
    </xf>
    <xf numFmtId="0" fontId="7" fillId="18" borderId="0" xfId="0" applyFill="1" applyBorder="1" applyAlignment="1">
      <alignment horizontal="center" vertical="center"/>
    </xf>
    <xf numFmtId="0" fontId="50" fillId="18" borderId="0" xfId="0" applyFill="1" applyBorder="1" applyAlignment="1">
      <alignment horizontal="center" vertical="center"/>
    </xf>
    <xf numFmtId="0" fontId="8" fillId="19" borderId="0" xfId="0" applyFill="1" applyBorder="1" applyAlignment="1">
      <alignment horizontal="center" vertical="center"/>
    </xf>
    <xf numFmtId="0" fontId="7" fillId="19" borderId="0" xfId="0" applyFill="1" applyBorder="1" applyAlignment="1">
      <alignment horizontal="center" vertical="center"/>
    </xf>
    <xf numFmtId="0" fontId="50" fillId="19" borderId="0" xfId="0" applyFill="1" applyBorder="1" applyAlignment="1">
      <alignment horizontal="center" vertical="center"/>
    </xf>
    <xf numFmtId="0" fontId="4" fillId="8" borderId="1" xfId="0" applyFill="1" applyBorder="1" applyAlignment="1">
      <alignment horizontal="center" vertical="center" wrapText="1"/>
    </xf>
    <xf numFmtId="0" fontId="4" fillId="62" borderId="1" xfId="0" applyFill="1" applyBorder="1" applyAlignment="1">
      <alignment horizontal="center" vertical="center" wrapText="1"/>
    </xf>
    <xf numFmtId="0" fontId="34" fillId="7" borderId="0" xfId="0" applyFill="1" applyAlignment="1">
      <alignment horizontal="center" vertical="center"/>
    </xf>
    <xf numFmtId="0" fontId="34" fillId="7" borderId="12" xfId="0" applyFill="1" applyBorder="1" applyAlignment="1">
      <alignment horizontal="center" vertical="center"/>
    </xf>
    <xf numFmtId="0" fontId="8" fillId="7" borderId="12" xfId="0" applyFill="1" applyBorder="1" applyAlignment="1">
      <alignment horizontal="center" vertical="center"/>
    </xf>
    <xf numFmtId="0" fontId="50" fillId="7" borderId="0" xfId="0" applyFill="1" applyAlignment="1">
      <alignment horizontal="center" vertical="center"/>
    </xf>
    <xf numFmtId="0" fontId="50" fillId="7" borderId="12" xfId="0" applyFill="1" applyBorder="1" applyAlignment="1">
      <alignment horizontal="center" vertical="center"/>
    </xf>
    <xf numFmtId="0" fontId="7" fillId="7" borderId="12" xfId="0" applyFill="1" applyBorder="1" applyAlignment="1">
      <alignment horizontal="center" vertical="center"/>
    </xf>
    <xf numFmtId="0" fontId="8" fillId="7" borderId="0" xfId="0" applyFill="1" applyAlignment="1">
      <alignment horizontal="center" vertical="center"/>
    </xf>
    <xf numFmtId="0" fontId="8" fillId="68" borderId="12" xfId="0" applyFill="1" applyBorder="1" applyAlignment="1">
      <alignment horizontal="center" vertical="center"/>
    </xf>
    <xf numFmtId="0" fontId="7" fillId="68" borderId="12" xfId="0" applyFill="1" applyBorder="1" applyAlignment="1">
      <alignment horizontal="center" vertical="center"/>
    </xf>
    <xf numFmtId="0" fontId="8" fillId="60" borderId="12" xfId="0" applyFill="1" applyBorder="1" applyAlignment="1">
      <alignment horizontal="center" vertical="center"/>
    </xf>
    <xf numFmtId="0" fontId="7" fillId="60" borderId="12" xfId="0" applyFill="1" applyBorder="1" applyAlignment="1">
      <alignment horizontal="center" vertical="center"/>
    </xf>
    <xf numFmtId="0" fontId="8" fillId="16" borderId="12" xfId="0" applyFill="1" applyBorder="1" applyAlignment="1">
      <alignment horizontal="center" vertical="center"/>
    </xf>
    <xf numFmtId="0" fontId="7" fillId="16" borderId="12" xfId="0" applyFill="1" applyBorder="1" applyAlignment="1">
      <alignment horizontal="center" vertical="center"/>
    </xf>
    <xf numFmtId="0" fontId="8" fillId="17" borderId="12" xfId="0" applyFill="1" applyBorder="1" applyAlignment="1">
      <alignment horizontal="center" vertical="center"/>
    </xf>
    <xf numFmtId="0" fontId="8" fillId="18" borderId="12" xfId="0" applyFill="1" applyBorder="1" applyAlignment="1">
      <alignment horizontal="center" vertical="center"/>
    </xf>
    <xf numFmtId="0" fontId="7" fillId="18" borderId="12" xfId="0" applyFill="1" applyBorder="1" applyAlignment="1">
      <alignment horizontal="center" vertical="center"/>
    </xf>
    <xf numFmtId="0" fontId="8" fillId="19" borderId="12" xfId="0" applyFill="1" applyBorder="1" applyAlignment="1">
      <alignment horizontal="center" vertical="center"/>
    </xf>
    <xf numFmtId="0" fontId="7" fillId="19" borderId="12" xfId="0" applyFill="1" applyBorder="1" applyAlignment="1">
      <alignment horizontal="center" vertical="center"/>
    </xf>
    <xf numFmtId="0" fontId="7" fillId="68" borderId="1" xfId="0" applyFill="1" applyBorder="1" applyAlignment="1">
      <alignment horizontal="center" vertical="center"/>
    </xf>
    <xf numFmtId="0" fontId="7" fillId="60" borderId="1" xfId="0" applyFill="1" applyBorder="1" applyAlignment="1">
      <alignment horizontal="center" vertical="center"/>
    </xf>
    <xf numFmtId="0" fontId="7" fillId="16" borderId="1" xfId="0" applyFill="1" applyBorder="1" applyAlignment="1">
      <alignment horizontal="center" vertical="center"/>
    </xf>
    <xf numFmtId="0" fontId="8" fillId="17" borderId="1" xfId="0" applyFill="1" applyBorder="1" applyAlignment="1">
      <alignment horizontal="center" vertical="center"/>
    </xf>
    <xf numFmtId="0" fontId="7" fillId="18" borderId="1" xfId="0" applyFill="1" applyBorder="1" applyAlignment="1">
      <alignment horizontal="center" vertical="center"/>
    </xf>
    <xf numFmtId="0" fontId="7" fillId="19" borderId="1" xfId="0" applyFill="1" applyBorder="1" applyAlignment="1">
      <alignment horizontal="center" vertical="center"/>
    </xf>
    <xf numFmtId="0" fontId="0" fillId="10" borderId="1" xfId="0" quotePrefix="1" applyFill="1" applyBorder="1" applyAlignment="1">
      <alignment horizontal="center" vertical="center"/>
    </xf>
    <xf numFmtId="0" fontId="4" fillId="7" borderId="0" xfId="0" applyFill="1" applyBorder="1" applyAlignment="1">
      <alignment horizontal="left" vertical="center"/>
    </xf>
    <xf numFmtId="0" fontId="0" fillId="7" borderId="1" xfId="0" applyFill="1" applyBorder="1" applyAlignment="1">
      <alignment horizontal="left" vertical="center"/>
    </xf>
    <xf numFmtId="0" fontId="51" fillId="23" borderId="1" xfId="0" applyFill="1" applyBorder="1" applyAlignment="1">
      <alignment horizontal="center" vertical="center"/>
    </xf>
    <xf numFmtId="0" fontId="51" fillId="7" borderId="1" xfId="0" applyFill="1" applyBorder="1" applyAlignment="1">
      <alignment horizontal="center" vertical="center"/>
    </xf>
    <xf numFmtId="0" fontId="34" fillId="7" borderId="1" xfId="0" applyFill="1" applyBorder="1" applyAlignment="1">
      <alignment horizontal="left" vertical="center"/>
    </xf>
    <xf numFmtId="9" fontId="33" fillId="7" borderId="1" xfId="0" applyNumberFormat="1" applyFill="1" applyBorder="1" applyAlignment="1">
      <alignment horizontal="left" vertical="center" wrapText="1"/>
    </xf>
    <xf numFmtId="0" fontId="4" fillId="42" borderId="1" xfId="0" applyFill="1" applyBorder="1" applyAlignment="1">
      <alignment horizontal="center" vertical="center"/>
    </xf>
    <xf numFmtId="69" fontId="4" fillId="42" borderId="1" xfId="0" applyNumberFormat="1" applyFill="1" applyBorder="1" applyAlignment="1">
      <alignment horizontal="center" vertical="center" wrapText="1"/>
    </xf>
    <xf numFmtId="69" fontId="4" fillId="42" borderId="1" xfId="0" applyNumberFormat="1" applyFill="1" applyBorder="1" applyAlignment="1">
      <alignment horizontal="center" vertical="center"/>
    </xf>
    <xf numFmtId="0" fontId="51" fillId="0" borderId="0" xfId="0" applyBorder="1" applyAlignment="1">
      <alignment horizontal="center" vertical="center"/>
    </xf>
    <xf numFmtId="0" fontId="0" fillId="0" borderId="72" xfId="0" applyBorder="1" applyAlignment="1">
      <alignment horizontal="center" vertical="center"/>
    </xf>
    <xf numFmtId="0" fontId="51" fillId="0" borderId="72" xfId="0" applyBorder="1" applyAlignment="1">
      <alignment horizontal="center" vertical="center"/>
    </xf>
    <xf numFmtId="186" fontId="31" fillId="69" borderId="0" xfId="0" applyNumberFormat="1" applyFill="1" applyBorder="1" applyAlignment="1">
      <alignment horizontal="center" vertical="center"/>
    </xf>
    <xf numFmtId="0" fontId="0" fillId="33" borderId="1" xfId="0" quotePrefix="1" applyFill="1" applyBorder="1" applyAlignment="1">
      <alignment horizontal="left" vertical="center" wrapText="1"/>
    </xf>
    <xf numFmtId="0" fontId="0" fillId="33" borderId="1" xfId="0" quotePrefix="1" applyFill="1" applyBorder="1" applyAlignment="1">
      <alignment horizontal="left" vertical="top" wrapText="1"/>
    </xf>
    <xf numFmtId="0" fontId="8" fillId="0" borderId="26" xfId="0" applyBorder="1" applyAlignment="1">
      <alignment horizontal="center" vertical="center"/>
    </xf>
    <xf numFmtId="0" fontId="35" fillId="0" borderId="26" xfId="0" applyBorder="1" applyAlignment="1">
      <alignment horizontal="center" vertical="center"/>
    </xf>
    <xf numFmtId="0" fontId="35" fillId="0" borderId="26" xfId="0" applyBorder="1" applyAlignment="1">
      <alignment horizontal="center" vertical="center" wrapText="1"/>
    </xf>
    <xf numFmtId="0" fontId="35" fillId="0" borderId="23" xfId="0" applyBorder="1" applyAlignment="1">
      <alignment horizontal="center" vertical="center"/>
    </xf>
    <xf numFmtId="0" fontId="35" fillId="0" borderId="22" xfId="0" applyBorder="1" applyAlignment="1">
      <alignment horizontal="center" vertical="center"/>
    </xf>
    <xf numFmtId="0" fontId="35" fillId="0" borderId="23" xfId="0" applyBorder="1" applyAlignment="1">
      <alignment horizontal="center" vertical="center" wrapText="1"/>
    </xf>
    <xf numFmtId="0" fontId="35" fillId="0" borderId="23" xfId="0" applyBorder="1" applyAlignment="1">
      <alignment vertical="center"/>
    </xf>
    <xf numFmtId="0" fontId="35" fillId="0" borderId="24" xfId="0" applyBorder="1" applyAlignment="1">
      <alignment vertical="center"/>
    </xf>
    <xf numFmtId="0" fontId="35" fillId="0" borderId="22" xfId="0" applyBorder="1" applyAlignment="1">
      <alignment vertical="center"/>
    </xf>
    <xf numFmtId="0" fontId="35" fillId="0" borderId="23" xfId="0" applyFill="1" applyBorder="1" applyAlignment="1">
      <alignment vertical="center"/>
    </xf>
    <xf numFmtId="0" fontId="35" fillId="0" borderId="24" xfId="0" applyFill="1" applyBorder="1" applyAlignment="1">
      <alignment vertical="center"/>
    </xf>
    <xf numFmtId="0" fontId="35" fillId="0" borderId="22" xfId="0" applyFill="1" applyBorder="1" applyAlignment="1">
      <alignment vertical="center"/>
    </xf>
    <xf numFmtId="0" fontId="35" fillId="0" borderId="24" xfId="0" applyFill="1" applyBorder="1" applyAlignment="1">
      <alignment horizontal="center" vertical="center"/>
    </xf>
    <xf numFmtId="0" fontId="35" fillId="0" borderId="22" xfId="0" applyFill="1" applyBorder="1" applyAlignment="1">
      <alignment horizontal="center" vertical="center"/>
    </xf>
    <xf numFmtId="0" fontId="35" fillId="0" borderId="24" xfId="0" applyFill="1" applyBorder="1" applyAlignment="1">
      <alignment horizontal="center" vertical="center" wrapText="1"/>
    </xf>
    <xf numFmtId="0" fontId="56" fillId="7" borderId="1" xfId="0" applyFill="1" applyBorder="1" applyAlignment="1">
      <alignment horizontal="center" vertical="center"/>
    </xf>
    <xf numFmtId="0" fontId="57" fillId="7" borderId="1" xfId="0" applyFill="1" applyBorder="1" applyAlignment="1">
      <alignment horizontal="center" vertical="center"/>
    </xf>
    <xf numFmtId="0" fontId="57" fillId="42" borderId="1" xfId="0" applyFill="1" applyBorder="1" applyAlignment="1">
      <alignment horizontal="center" vertical="center"/>
    </xf>
    <xf numFmtId="0" fontId="56" fillId="42" borderId="1" xfId="0" applyFill="1" applyBorder="1" applyAlignment="1">
      <alignment horizontal="center" vertical="center"/>
    </xf>
    <xf numFmtId="0" fontId="33" fillId="42" borderId="1" xfId="0" applyFill="1" applyBorder="1" applyAlignment="1">
      <alignment horizontal="center" vertical="center"/>
    </xf>
    <xf numFmtId="69" fontId="58" fillId="7" borderId="1" xfId="0" applyNumberFormat="1" applyFill="1" applyBorder="1" applyAlignment="1">
      <alignment horizontal="center" vertical="center"/>
    </xf>
    <xf numFmtId="69" fontId="48" fillId="7" borderId="1" xfId="0" applyNumberFormat="1" applyFill="1" applyBorder="1" applyAlignment="1">
      <alignment horizontal="center" vertical="center"/>
    </xf>
    <xf numFmtId="0" fontId="58" fillId="42" borderId="1" xfId="0" applyFill="1" applyBorder="1" applyAlignment="1">
      <alignment horizontal="center" vertical="center"/>
    </xf>
    <xf numFmtId="0" fontId="48" fillId="42" borderId="1" xfId="0" applyFill="1" applyBorder="1" applyAlignment="1">
      <alignment horizontal="center" vertical="center"/>
    </xf>
    <xf numFmtId="0" fontId="9" fillId="42" borderId="1" xfId="0" applyFill="1" applyBorder="1" applyAlignment="1">
      <alignment horizontal="center" vertical="center"/>
    </xf>
    <xf numFmtId="69" fontId="48" fillId="42" borderId="1" xfId="0" applyNumberFormat="1" applyFill="1" applyBorder="1" applyAlignment="1">
      <alignment horizontal="center" vertical="center"/>
    </xf>
    <xf numFmtId="69" fontId="4" fillId="70" borderId="1" xfId="0" applyNumberFormat="1" applyFill="1" applyBorder="1" applyAlignment="1">
      <alignment horizontal="center" vertical="center"/>
    </xf>
    <xf numFmtId="69" fontId="58" fillId="70" borderId="1" xfId="0" applyNumberFormat="1" applyFill="1" applyBorder="1" applyAlignment="1">
      <alignment horizontal="center" vertical="center"/>
    </xf>
    <xf numFmtId="0" fontId="48" fillId="70" borderId="1" xfId="0" applyFill="1" applyBorder="1" applyAlignment="1">
      <alignment horizontal="center" vertical="center"/>
    </xf>
    <xf numFmtId="69" fontId="4" fillId="70" borderId="1" xfId="0" applyNumberFormat="1" applyFill="1" applyBorder="1" applyAlignment="1">
      <alignment horizontal="center" vertical="center" wrapText="1"/>
    </xf>
    <xf numFmtId="69" fontId="48" fillId="70" borderId="1" xfId="0" applyNumberFormat="1" applyFill="1" applyBorder="1" applyAlignment="1">
      <alignment horizontal="center" vertical="center"/>
    </xf>
    <xf numFmtId="0" fontId="4" fillId="70" borderId="1" xfId="0" applyFill="1" applyBorder="1" applyAlignment="1">
      <alignment horizontal="center" vertical="center"/>
    </xf>
    <xf numFmtId="0" fontId="59" fillId="7" borderId="1" xfId="0" applyFill="1" applyBorder="1" applyAlignment="1">
      <alignment horizontal="center" vertical="center"/>
    </xf>
    <xf numFmtId="0" fontId="4" fillId="7" borderId="1" xfId="0" applyFill="1" applyBorder="1" applyAlignment="1">
      <alignment horizontal="center" vertical="center"/>
    </xf>
    <xf numFmtId="0" fontId="4" fillId="71" borderId="1" xfId="0" applyFill="1" applyBorder="1" applyAlignment="1">
      <alignment horizontal="center" vertical="center"/>
    </xf>
    <xf numFmtId="0" fontId="59" fillId="71" borderId="1" xfId="0" applyFill="1" applyBorder="1" applyAlignment="1">
      <alignment horizontal="center" vertical="center"/>
    </xf>
    <xf numFmtId="0" fontId="58" fillId="71" borderId="1" xfId="0" applyFill="1" applyBorder="1" applyAlignment="1">
      <alignment horizontal="center" vertical="center"/>
    </xf>
    <xf numFmtId="0" fontId="58" fillId="7" borderId="1" xfId="0" applyFill="1" applyBorder="1" applyAlignment="1">
      <alignment horizontal="center" vertical="center"/>
    </xf>
  </cellXfs>
  <cellStyles count="50">
    <cellStyle name="20% - 강조색1" xfId="26" builtinId="30"/>
    <cellStyle name="20% - 강조색2" xfId="30" builtinId="34"/>
    <cellStyle name="20% - 강조색3" xfId="34" builtinId="38"/>
    <cellStyle name="20% - 강조색4" xfId="38" builtinId="42"/>
    <cellStyle name="20% - 강조색5" xfId="42" builtinId="46"/>
    <cellStyle name="20% - 강조색6" xfId="46" builtinId="50"/>
    <cellStyle name="40% - 강조색1" xfId="27" builtinId="31"/>
    <cellStyle name="40% - 강조색2" xfId="31" builtinId="35"/>
    <cellStyle name="40% - 강조색3" xfId="35" builtinId="39"/>
    <cellStyle name="40% - 강조색4" xfId="39" builtinId="43"/>
    <cellStyle name="40% - 강조색5" xfId="43" builtinId="47"/>
    <cellStyle name="40% - 강조색6" xfId="47" builtinId="51"/>
    <cellStyle name="60% - 강조색1" xfId="28" builtinId="32"/>
    <cellStyle name="60% - 강조색2" xfId="32" builtinId="36"/>
    <cellStyle name="60% - 강조색3" xfId="36" builtinId="40"/>
    <cellStyle name="60% - 강조색4" xfId="40" builtinId="44"/>
    <cellStyle name="60% - 강조색5" xfId="44" builtinId="48"/>
    <cellStyle name="60% - 강조색6" xfId="48" builtinId="52"/>
    <cellStyle name="강조색1" xfId="25" builtinId="29"/>
    <cellStyle name="강조색2" xfId="29" builtinId="33"/>
    <cellStyle name="강조색3" xfId="33" builtinId="37"/>
    <cellStyle name="강조색4" xfId="37" builtinId="41"/>
    <cellStyle name="강조색5" xfId="41" builtinId="45"/>
    <cellStyle name="강조색6" xfId="45" builtinId="49"/>
    <cellStyle name="경고문" xfId="10" builtinId="11"/>
    <cellStyle name="계산" xfId="18" builtinId="22"/>
    <cellStyle name="나쁨" xfId="23" builtinId="27"/>
    <cellStyle name="메모" xfId="9" builtinId="10"/>
    <cellStyle name="백분율" xfId="6" builtinId="5"/>
    <cellStyle name="보통" xfId="24" builtinId="28"/>
    <cellStyle name="설명텍스트" xfId="49" builtinId="53"/>
    <cellStyle name="셀 확인" xfId="19" builtinId="23"/>
    <cellStyle name="쉼표" xfId="4" builtinId="3"/>
    <cellStyle name="쉼표[0]" xfId="7" builtinId="6"/>
    <cellStyle name="연결된 셀" xfId="20" builtinId="24"/>
    <cellStyle name="열어 본 하이퍼링크" xfId="2" builtinId="9" hidden="1"/>
    <cellStyle name="요약" xfId="21" builtinId="25"/>
    <cellStyle name="입력" xfId="16" builtinId="20"/>
    <cellStyle name="제목" xfId="11" builtinId="15"/>
    <cellStyle name="제목 1" xfId="12" builtinId="16"/>
    <cellStyle name="제목 2" xfId="13" builtinId="17"/>
    <cellStyle name="제목 3" xfId="14" builtinId="18"/>
    <cellStyle name="제목 4" xfId="15" builtinId="19"/>
    <cellStyle name="좋음" xfId="22" builtinId="26"/>
    <cellStyle name="출력" xfId="17" builtinId="21"/>
    <cellStyle name="통화" xfId="5" builtinId="4"/>
    <cellStyle name="통화[0]" xfId="8" builtinId="7"/>
    <cellStyle name="표준" xfId="0" builtinId="0"/>
    <cellStyle name="하이퍼링크" xfId="1" builtinId="8" hidden="1"/>
    <cellStyle name="표준 2" xfId="3"/>
  </cellStyles>
  <dxfs count="6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FF"/>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b/>
        <color theme="0"/>
      </font>
      <fill>
        <patternFill>
          <bgColor theme="5" tint="-0.499980"/>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b/>
        <color rgb="FF000000"/>
      </font>
      <fill>
        <patternFill>
          <bgColor rgb="FFFFC000"/>
        </patternFill>
      </fill>
    </dxf>
    <dxf>
      <font>
        <color rgb="FF9C0006"/>
      </font>
      <fill>
        <patternFill>
          <bgColor rgb="FFFFC7CE"/>
        </patternFill>
      </fill>
    </dxf>
    <dxf>
      <font>
        <color rgb="FF9C0006"/>
      </font>
      <fill>
        <patternFill>
          <bgColor rgb="FFFFC7CE"/>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000000"/>
      </font>
      <fill>
        <patternFill>
          <bgColor rgb="FFFFC000"/>
        </patternFill>
      </fill>
    </dxf>
    <dxf>
      <font>
        <color rgb="FF000000"/>
      </font>
      <fill>
        <patternFill>
          <bgColor rgb="FF843C0B"/>
        </patternFill>
      </fill>
    </dxf>
    <dxf>
      <font>
        <color rgb="FF000000"/>
      </font>
      <fill>
        <patternFill>
          <bgColor rgb="FFFFC000"/>
        </patternFill>
      </fill>
    </dxf>
    <dxf>
      <font>
        <color rgb="FF000000"/>
      </font>
      <fill>
        <patternFill>
          <bgColor rgb="FF843C0B"/>
        </patternFill>
      </fill>
    </dxf>
    <dxf>
      <font>
        <color rgb="FFFFFFFF"/>
      </font>
      <fill>
        <patternFill>
          <bgColor rgb="FF0093FF"/>
        </patternFill>
      </fill>
    </dxf>
    <dxf>
      <font>
        <color rgb="FFFFFFFF"/>
      </font>
      <fill>
        <patternFill>
          <bgColor rgb="FF05BCA5"/>
        </patternFill>
      </fill>
    </dxf>
    <dxf>
      <font>
        <color rgb="FF000000"/>
      </font>
      <fill>
        <patternFill>
          <bgColor rgb="FFFFB900"/>
        </patternFill>
      </fill>
    </dxf>
    <dxf>
      <font>
        <color rgb="FFFFFFFF"/>
      </font>
      <fill>
        <patternFill>
          <bgColor rgb="FF9AA4AF"/>
        </patternFill>
      </fill>
    </dxf>
    <dxf>
      <font>
        <color rgb="FFFFFFFF"/>
      </font>
      <fill>
        <patternFill>
          <bgColor rgb="FFA88A67"/>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843C0B"/>
        </patternFill>
      </fill>
    </dxf>
    <dxf>
      <font>
        <color rgb="FFFFFFFF"/>
      </font>
      <fill>
        <patternFill>
          <bgColor rgb="FF0093FF"/>
        </patternFill>
      </fill>
    </dxf>
    <dxf>
      <font>
        <color rgb="FFFFFFFF"/>
      </font>
      <fill>
        <patternFill>
          <bgColor rgb="FF05BCA5"/>
        </patternFill>
      </fill>
    </dxf>
    <dxf>
      <font>
        <color rgb="FF000000"/>
      </font>
      <fill>
        <patternFill>
          <bgColor rgb="FFFFB900"/>
        </patternFill>
      </fill>
    </dxf>
    <dxf>
      <font>
        <color rgb="FFFFFFFF"/>
      </font>
      <fill>
        <patternFill>
          <bgColor rgb="FF9AA4AF"/>
        </patternFill>
      </fill>
    </dxf>
    <dxf>
      <font>
        <color rgb="FFFFFFFF"/>
      </font>
      <fill>
        <patternFill>
          <bgColor rgb="FFA88A67"/>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843C0B"/>
        </patternFill>
      </fill>
    </dxf>
    <dxf>
      <font>
        <color rgb="FFFFFFFF"/>
      </font>
      <fill>
        <patternFill>
          <bgColor rgb="FF0093FF"/>
        </patternFill>
      </fill>
    </dxf>
    <dxf>
      <font>
        <color rgb="FFFFFFFF"/>
      </font>
      <fill>
        <patternFill>
          <bgColor rgb="FF05BCA5"/>
        </patternFill>
      </fill>
    </dxf>
    <dxf>
      <font>
        <color rgb="FF000000"/>
      </font>
      <fill>
        <patternFill>
          <bgColor rgb="FFFFB900"/>
        </patternFill>
      </fill>
    </dxf>
    <dxf>
      <font>
        <color rgb="FFFFFFFF"/>
      </font>
      <fill>
        <patternFill>
          <bgColor rgb="FF9AA4AF"/>
        </patternFill>
      </fill>
    </dxf>
    <dxf>
      <font>
        <color rgb="FFFFFFFF"/>
      </font>
      <fill>
        <patternFill>
          <bgColor rgb="FFA88A67"/>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FFFFFF"/>
      </font>
      <fill>
        <patternFill>
          <bgColor rgb="FF843C0B"/>
        </patternFill>
      </fill>
    </dxf>
    <dxf>
      <font>
        <color rgb="FF000000"/>
      </font>
      <fill>
        <patternFill>
          <bgColor rgb="FF843C0B"/>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843C0B"/>
        </patternFill>
      </fill>
    </dxf>
    <dxf>
      <font>
        <color rgb="FFFFFFFF"/>
      </font>
      <fill>
        <patternFill>
          <bgColor rgb="FF0093FF"/>
        </patternFill>
      </fill>
    </dxf>
    <dxf>
      <font>
        <color rgb="FFFFFFFF"/>
      </font>
      <fill>
        <patternFill>
          <bgColor rgb="FF05BCA5"/>
        </patternFill>
      </fill>
    </dxf>
    <dxf>
      <font>
        <color rgb="FF000000"/>
      </font>
      <fill>
        <patternFill>
          <bgColor rgb="FFFFB900"/>
        </patternFill>
      </fill>
    </dxf>
    <dxf>
      <font>
        <color rgb="FFFFFFFF"/>
      </font>
      <fill>
        <patternFill>
          <bgColor rgb="FF9AA4AF"/>
        </patternFill>
      </fill>
    </dxf>
    <dxf>
      <font>
        <color rgb="FFFFFFFF"/>
      </font>
      <fill>
        <patternFill>
          <bgColor rgb="FFA88A67"/>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FFFFFF"/>
      </font>
      <fill>
        <patternFill>
          <bgColor rgb="FF843C0B"/>
        </patternFill>
      </fill>
    </dxf>
    <dxf>
      <font>
        <color rgb="FF000000"/>
      </font>
      <fill>
        <patternFill>
          <bgColor rgb="FF843C0B"/>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843C0B"/>
        </patternFill>
      </fill>
    </dxf>
    <dxf>
      <font>
        <color rgb="FFFFFFFF"/>
      </font>
      <fill>
        <patternFill>
          <bgColor rgb="FF0093FF"/>
        </patternFill>
      </fill>
    </dxf>
    <dxf>
      <font>
        <color rgb="FFFFFFFF"/>
      </font>
      <fill>
        <patternFill>
          <bgColor rgb="FF05BCA5"/>
        </patternFill>
      </fill>
    </dxf>
    <dxf>
      <font>
        <color rgb="FF000000"/>
      </font>
      <fill>
        <patternFill>
          <bgColor rgb="FFFFB900"/>
        </patternFill>
      </fill>
    </dxf>
    <dxf>
      <font>
        <color rgb="FFFFFFFF"/>
      </font>
      <fill>
        <patternFill>
          <bgColor rgb="FF9AA4AF"/>
        </patternFill>
      </fill>
    </dxf>
    <dxf>
      <font>
        <color rgb="FFFFFFFF"/>
      </font>
      <fill>
        <patternFill>
          <bgColor rgb="FFA88A67"/>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FFFFFF"/>
      </font>
      <fill>
        <patternFill>
          <bgColor rgb="FF843C0B"/>
        </patternFill>
      </fill>
    </dxf>
    <dxf>
      <font>
        <color rgb="FF000000"/>
      </font>
      <fill>
        <patternFill>
          <bgColor rgb="FF843C0B"/>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FFC000"/>
        </patternFill>
      </fill>
    </dxf>
    <dxf>
      <font>
        <color rgb="FF000000"/>
      </font>
      <fill>
        <patternFill>
          <bgColor rgb="FFFFC000"/>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000000"/>
      </font>
      <fill>
        <patternFill>
          <bgColor rgb="FFFFC000"/>
        </patternFill>
      </fill>
    </dxf>
    <dxf>
      <font>
        <color rgb="FFFFFFFF"/>
      </font>
      <fill>
        <patternFill>
          <bgColor rgb="FF843C0B"/>
        </patternFill>
      </fill>
    </dxf>
    <dxf>
      <font>
        <color rgb="FF000000"/>
      </font>
      <fill>
        <patternFill>
          <bgColor rgb="FFFFC000"/>
        </patternFill>
      </fill>
    </dxf>
    <dxf>
      <font>
        <color rgb="FF000000"/>
      </font>
      <fill>
        <patternFill>
          <bgColor rgb="FF843C0B"/>
        </patternFill>
      </fill>
    </dxf>
    <dxf>
      <font>
        <color rgb="FFFFFFFF"/>
      </font>
      <fill>
        <patternFill>
          <bgColor rgb="FF0093FF"/>
        </patternFill>
      </fill>
    </dxf>
    <dxf>
      <font>
        <color rgb="FFFFFFFF"/>
      </font>
      <fill>
        <patternFill>
          <bgColor rgb="FF05BCA5"/>
        </patternFill>
      </fill>
    </dxf>
    <dxf>
      <font>
        <color rgb="FF000000"/>
      </font>
      <fill>
        <patternFill>
          <bgColor rgb="FFFFB900"/>
        </patternFill>
      </fill>
    </dxf>
    <dxf>
      <font>
        <color rgb="FFFFFFFF"/>
      </font>
      <fill>
        <patternFill>
          <bgColor rgb="FF9AA4AF"/>
        </patternFill>
      </fill>
    </dxf>
    <dxf>
      <font>
        <color rgb="FFFFFFFF"/>
      </font>
      <fill>
        <patternFill>
          <bgColor rgb="FFA88A67"/>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FFFFFF"/>
      </font>
      <fill>
        <patternFill>
          <bgColor rgb="FF843C0B"/>
        </patternFill>
      </fill>
    </dxf>
    <dxf>
      <font>
        <color rgb="FF000000"/>
      </font>
      <fill>
        <patternFill>
          <bgColor rgb="FF843C0B"/>
        </patternFill>
      </fill>
    </dxf>
    <dxf>
      <font>
        <color rgb="FF000000"/>
      </font>
      <fill>
        <patternFill>
          <bgColor rgb="FFFFC000"/>
        </patternFill>
      </fill>
    </dxf>
    <dxf>
      <font>
        <color rgb="FF000000"/>
      </font>
      <fill>
        <patternFill>
          <bgColor rgb="FFFFC000"/>
        </patternFill>
      </fill>
    </dxf>
    <dxf>
      <font>
        <color rgb="FFFFFFFF"/>
      </font>
      <fill>
        <patternFill>
          <bgColor rgb="FF843C0B"/>
        </patternFill>
      </fill>
    </dxf>
    <dxf>
      <font>
        <color rgb="FFFFFFFF"/>
      </font>
      <fill>
        <patternFill>
          <bgColor rgb="FF0095FF"/>
        </patternFill>
      </fill>
    </dxf>
    <dxf>
      <fill>
        <patternFill patternType="solid">
          <fgColor rgb="FFFFFF00"/>
          <bgColor rgb="FF000000"/>
        </patternFill>
      </fill>
    </dxf>
    <dxf>
      <fill>
        <patternFill patternType="solid">
          <fgColor rgb="FFFFFF00"/>
          <bgColor rgb="FF000000"/>
        </patternFill>
      </fill>
    </dxf>
    <dxf>
      <fill>
        <patternFill patternType="solid">
          <fgColor rgb="FFFFF2CC"/>
          <bgColor rgb="FF000000"/>
        </patternFill>
      </fill>
    </dxf>
    <dxf>
      <fill>
        <patternFill patternType="solid">
          <fgColor rgb="FFFFF2CC"/>
          <bgColor rgb="FF000000"/>
        </patternFill>
      </fill>
    </dxf>
    <dxf>
      <font>
        <color rgb="FF9C0006"/>
      </font>
      <fill>
        <patternFill>
          <bgColor rgb="FFFFC7CE"/>
        </patternFill>
      </fill>
    </dxf>
    <dxf>
      <fill>
        <patternFill patternType="solid">
          <fgColor rgb="FFFBE5D6"/>
          <bgColor rgb="FF000000"/>
        </patternFill>
      </fill>
    </dxf>
    <dxf>
      <fill>
        <patternFill patternType="solid">
          <fgColor rgb="FFFBE5D6"/>
          <bgColor rgb="FF000000"/>
        </patternFill>
      </fill>
    </dxf>
    <dxf>
      <fill>
        <patternFill patternType="solid">
          <fgColor rgb="FFFBE5D6"/>
          <bgColor rgb="FF000000"/>
        </patternFill>
      </fill>
    </dxf>
    <dxf>
      <fill>
        <patternFill patternType="solid">
          <fgColor rgb="FFFBE5D6"/>
          <bgColor rgb="FF000000"/>
        </patternFill>
      </fill>
    </dxf>
    <dxf>
      <fill>
        <patternFill patternType="solid">
          <fgColor rgb="FFFBE5D6"/>
          <bgColor rgb="FF000000"/>
        </patternFill>
      </fill>
    </dxf>
    <dxf>
      <fill>
        <patternFill patternType="solid">
          <fgColor rgb="FFF5E9C5"/>
          <bgColor rgb="FF000000"/>
        </patternFill>
      </fill>
    </dxf>
    <dxf>
      <fill>
        <patternFill patternType="solid">
          <fgColor rgb="FFFFF2CC"/>
          <bgColor rgb="FF000000"/>
        </patternFill>
      </fill>
    </dxf>
    <dxf>
      <fill>
        <patternFill patternType="solid">
          <fgColor rgb="FFFFF2CC"/>
          <bgColor rgb="FF000000"/>
        </patternFill>
      </fill>
    </dxf>
    <dxf>
      <fill>
        <patternFill patternType="solid">
          <fgColor rgb="FFFFF2CC"/>
          <bgColor rgb="FF000000"/>
        </patternFill>
      </fill>
    </dxf>
    <dxf>
      <fill>
        <patternFill patternType="solid">
          <fgColor rgb="FFFFF2CC"/>
          <bgColor rgb="FF000000"/>
        </patternFill>
      </fill>
    </dxf>
    <dxf>
      <fill>
        <patternFill patternType="solid">
          <fgColor rgb="FFFFF2CC"/>
          <bgColor rgb="FF000000"/>
        </patternFill>
      </fill>
    </dxf>
    <dxf>
      <fill>
        <patternFill patternType="solid">
          <fgColor rgb="FFF5E9C5"/>
          <bgColor rgb="FF000000"/>
        </patternFill>
      </fill>
    </dxf>
    <dxf>
      <fill>
        <patternFill patternType="solid">
          <fgColor rgb="FFFFF2CC"/>
          <bgColor rgb="FF000000"/>
        </patternFill>
      </fill>
    </dxf>
    <dxf>
      <fill>
        <patternFill patternType="solid">
          <fgColor rgb="FFFFF2CC"/>
          <bgColor rgb="FF000000"/>
        </patternFill>
      </fill>
    </dxf>
    <dxf>
      <font>
        <color rgb="FFFFFFFF"/>
      </font>
      <fill>
        <patternFill>
          <bgColor rgb="FF990000"/>
        </patternFill>
      </fill>
    </dxf>
    <dxf>
      <font>
        <color rgb="FFFFFFFF"/>
      </font>
      <fill>
        <patternFill>
          <bgColor rgb="FF990000"/>
        </patternFill>
      </fill>
    </dxf>
    <dxf>
      <font>
        <color rgb="FF9C0006"/>
      </font>
      <fill>
        <patternFill>
          <bgColor rgb="FFFFC7CE"/>
        </patternFill>
      </fill>
    </dxf>
    <dxf>
      <font>
        <color rgb="FF9C0006"/>
      </font>
      <fill>
        <patternFill>
          <bgColor rgb="FFFFC7CE"/>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FFFFFF"/>
      </font>
      <fill>
        <patternFill>
          <bgColor rgb="FF0095FF"/>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FFFFFF"/>
      </font>
      <fill>
        <patternFill>
          <bgColor rgb="FF0095FF"/>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FFFFFF"/>
      </font>
      <fill>
        <patternFill>
          <bgColor rgb="FF0095FF"/>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FFFFFF"/>
      </font>
      <fill>
        <patternFill>
          <bgColor rgb="FF0095FF"/>
        </patternFill>
      </fill>
    </dxf>
    <dxf>
      <font>
        <color rgb="FFFFFFFF"/>
      </font>
      <fill>
        <patternFill>
          <bgColor rgb="FFA88A67"/>
        </patternFill>
      </fill>
    </dxf>
    <dxf>
      <font>
        <color rgb="FFFFFFFF"/>
      </font>
      <fill>
        <patternFill>
          <bgColor rgb="FF9AA4AF"/>
        </patternFill>
      </fill>
    </dxf>
    <dxf>
      <font>
        <color rgb="FF000000"/>
      </font>
      <fill>
        <patternFill>
          <bgColor rgb="FFFFB900"/>
        </patternFill>
      </fill>
    </dxf>
    <dxf>
      <font>
        <color rgb="FFFFFFFF"/>
      </font>
      <fill>
        <patternFill>
          <bgColor rgb="FF05BCA5"/>
        </patternFill>
      </fill>
    </dxf>
    <dxf>
      <font>
        <color rgb="FFFFFFFF"/>
      </font>
      <fill>
        <patternFill>
          <bgColor rgb="FF0093FF"/>
        </patternFill>
      </fill>
    </dxf>
    <dxf>
      <font>
        <color rgb="FFFFFFFF"/>
      </font>
      <fill>
        <patternFill>
          <bgColor rgb="FF0095FF"/>
        </patternFill>
      </fill>
    </dxf>
    <dxf>
      <font>
        <color rgb="FFFFFFFF"/>
      </font>
      <fill>
        <patternFill>
          <bgColor rgb="FF990000"/>
        </patternFill>
      </fill>
    </dxf>
    <dxf>
      <font>
        <color rgb="FFFFFFFF"/>
      </font>
      <fill>
        <patternFill>
          <bgColor rgb="FF990000"/>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A88A67"/>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FFFFFF"/>
      </font>
      <fill>
        <patternFill>
          <bgColor rgb="FF9AA4AF"/>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000000"/>
      </font>
      <fill>
        <patternFill>
          <bgColor rgb="FFFFB900"/>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5BCA5"/>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3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0095FF"/>
        </patternFill>
      </fill>
    </dxf>
    <dxf>
      <font>
        <color rgb="FFFFFFFF"/>
      </font>
      <fill>
        <patternFill>
          <bgColor rgb="FF990000"/>
        </patternFill>
      </fill>
    </dxf>
    <dxf>
      <font>
        <color rgb="FFFFFFFF"/>
      </font>
      <fill>
        <patternFill>
          <bgColor rgb="FF990000"/>
        </patternFill>
      </fill>
    </dxf>
    <dxf>
      <fill>
        <patternFill patternType="solid">
          <fgColor rgb="FFFFFFFF"/>
          <bgColor rgb="FF000000"/>
        </patternFill>
      </fill>
    </dxf>
    <dxf>
      <fill>
        <patternFill patternType="solid">
          <fgColor rgb="FFFFC7CE"/>
          <bgColor rgb="FF000000"/>
        </patternFill>
      </fill>
    </dxf>
    <dxf>
      <fill>
        <patternFill patternType="solid">
          <fgColor rgb="FFFFFFFF"/>
          <bgColor rgb="FF000000"/>
        </patternFill>
      </fill>
    </dxf>
    <dxf>
      <fill>
        <patternFill patternType="solid">
          <fgColor rgb="FFFFC7CE"/>
          <bgColor rgb="FF000000"/>
        </patternFill>
      </fill>
    </dxf>
    <dxf>
      <font>
        <color rgb="FF9C0006"/>
      </font>
      <fill>
        <patternFill>
          <bgColor rgb="FFFFC7CE"/>
        </patternFill>
      </fill>
    </dxf>
    <dxf>
      <fill>
        <patternFill patternType="solid">
          <fgColor rgb="FFFFF2CC"/>
          <bgColor rgb="FF000000"/>
        </patternFill>
      </fill>
    </dxf>
    <dxf>
      <fill>
        <patternFill patternType="solid">
          <fgColor rgb="FFBDD7EE"/>
          <bgColor rgb="FF000000"/>
        </patternFill>
      </fill>
    </dxf>
    <dxf>
      <fill>
        <patternFill patternType="solid">
          <fgColor rgb="FFBDD7EE"/>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0611F2"/>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0611F2"/>
          <bgColor rgb="FF000000"/>
        </patternFill>
      </fill>
    </dxf>
    <dxf>
      <fill>
        <patternFill patternType="solid">
          <fgColor rgb="FF0611F2"/>
          <bgColor rgb="FF000000"/>
        </patternFill>
      </fill>
    </dxf>
    <dxf>
      <font>
        <color rgb="FF9C0006"/>
      </font>
      <fill>
        <patternFill>
          <bgColor rgb="FFFFC7CE"/>
        </patternFill>
      </fill>
    </dxf>
    <dxf>
      <fill>
        <patternFill patternType="solid">
          <fgColor rgb="FF800000"/>
          <bgColor rgb="FF000000"/>
        </patternFill>
      </fill>
    </dxf>
    <dxf>
      <fill>
        <patternFill patternType="solid">
          <fgColor rgb="FFFFF2CC"/>
          <bgColor rgb="FF000000"/>
        </patternFill>
      </fill>
    </dxf>
    <dxf>
      <fill>
        <patternFill patternType="solid">
          <fgColor rgb="FFFF0000"/>
          <bgColor rgb="FF000000"/>
        </patternFill>
      </fill>
    </dxf>
  </dxf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externalLink" Target="externalLinks/externalLink1.xml"></Relationship><Relationship Id="rId5" Type="http://schemas.openxmlformats.org/officeDocument/2006/relationships/theme" Target="theme/theme1.xml"></Relationship><Relationship Id="rId6" Type="http://schemas.openxmlformats.org/officeDocument/2006/relationships/styles" Target="styles.xml"></Relationship><Relationship Id="rId7" Type="http://schemas.openxmlformats.org/officeDocument/2006/relationships/sharedStrings" Target="sharedStrings.xml"></Relationship></Relationships>
</file>

<file path=xl/drawings/_rels/vmlDrawing1.vml.rels><?xml version="1.0" encoding="UTF-8"?>
<Relationships xmlns="http://schemas.openxmlformats.org/package/2006/relationships"></Relationships>
</file>

<file path=xl/drawings/_rels/vmlDrawing2.vml.rels><?xml version="1.0" encoding="UTF-8"?>
<Relationships xmlns="http://schemas.openxmlformats.org/package/2006/relationships"></Relationships>
</file>

<file path=xl/drawings/_rels/vmlDrawing3.vml.rels><?xml version="1.0" encoding="UTF-8"?>
<Relationships xmlns="http://schemas.openxmlformats.org/package/2006/relationships"></Relationships>
</file>

<file path=xl/externalLinks/_rels/externalLink1.xml.rels><?xml version="1.0" encoding="UTF-8"?>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맑은 고딕"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맑은 고딕"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1" Type="http://schemas.openxmlformats.org/officeDocument/2006/relationships/vmlDrawing" Target="../drawings/vmlDrawing1.vml"></Relationship><Relationship Id="rId2" Type="http://schemas.openxmlformats.org/officeDocument/2006/relationships/comments" Target="../comments1.xml"></Relationship></Relationships>
</file>

<file path=xl/worksheets/_rels/sheet2.xml.rels><?xml version="1.0" encoding="UTF-8"?>
<Relationships xmlns="http://schemas.openxmlformats.org/package/2006/relationships"><Relationship Id="rId1" Type="http://schemas.openxmlformats.org/officeDocument/2006/relationships/vmlDrawing" Target="../drawings/vmlDrawing2.vml"></Relationship><Relationship Id="rId2" Type="http://schemas.openxmlformats.org/officeDocument/2006/relationships/comments" Target="../comments2.xml"></Relationship></Relationships>
</file>

<file path=xl/worksheets/_rels/sheet3.xml.rels><?xml version="1.0" encoding="UTF-8"?>
<Relationships xmlns="http://schemas.openxmlformats.org/package/2006/relationships"><Relationship Id="rId1" Type="http://schemas.openxmlformats.org/officeDocument/2006/relationships/vmlDrawing" Target="../drawings/vmlDrawing3.vml"></Relationship><Relationship Id="rId2" Type="http://schemas.openxmlformats.org/officeDocument/2006/relationships/comments" Target="../comments3.xml"></Relationship></Relationships>
</file>

<file path=xl/worksheets/sheet1.xml><?xml version="1.0" encoding="utf-8"?>
<worksheet xmlns="http://schemas.openxmlformats.org/spreadsheetml/2006/main" xmlns:r="http://schemas.openxmlformats.org/officeDocument/2006/relationships">
  <dimension ref="A1:O55"/>
  <sheetViews>
    <sheetView tabSelected="1" zoomScale="60" zoomScaleNormal="60" workbookViewId="0">
      <selection activeCell="F16" sqref="F16"/>
    </sheetView>
  </sheetViews>
  <sheetFormatPr defaultRowHeight="16.500000"/>
  <cols>
    <col min="2" max="2" style="1" width="7.13000011" customWidth="1" outlineLevel="0"/>
    <col min="3" max="3" width="25.62999916" customWidth="1" outlineLevel="0"/>
    <col min="4" max="4" width="13.13000011" customWidth="1" outlineLevel="0"/>
    <col min="5" max="5" width="11.75500011" customWidth="1" outlineLevel="0"/>
    <col min="6" max="6" width="101.87999725" customWidth="1" outlineLevel="0"/>
    <col min="7" max="7" style="48" width="26.00499916" customWidth="1" outlineLevel="0"/>
    <col min="8" max="9" width="9.50500011" customWidth="1" outlineLevel="0"/>
    <col min="10" max="10" width="5.63000011" customWidth="1" outlineLevel="0"/>
    <col min="11" max="11" width="25.62999916" customWidth="1" outlineLevel="0"/>
    <col min="12" max="12" width="13.13000011" customWidth="1" outlineLevel="0"/>
    <col min="13" max="13" width="11.75500011" customWidth="1" outlineLevel="0"/>
    <col min="14" max="14" width="101.87999725" customWidth="1" outlineLevel="0"/>
    <col min="15" max="15" width="25.62999916" customWidth="1" outlineLevel="0"/>
  </cols>
  <sheetData>
    <row r="1" spans="1:15" ht="30.000000" customHeight="1">
      <c r="B1" s="940" t="s">
        <v>4331</v>
      </c>
      <c r="C1" s="940"/>
      <c r="D1" s="939"/>
      <c r="J1" s="940" t="s">
        <v>4324</v>
      </c>
      <c r="K1" s="940"/>
      <c r="L1" s="939"/>
      <c r="O1" s="48"/>
    </row>
    <row r="2" spans="1:15" ht="20.250000" customHeight="1">
      <c r="A2" s="825" t="s">
        <v>4456</v>
      </c>
      <c r="B2" s="825" t="s">
        <v>4211</v>
      </c>
      <c r="C2" s="825" t="s">
        <v>119</v>
      </c>
      <c r="D2" s="265" t="s">
        <v>4202</v>
      </c>
      <c r="E2" s="265" t="s">
        <v>4194</v>
      </c>
      <c r="F2" s="265" t="s">
        <v>126</v>
      </c>
      <c r="G2" s="265" t="s">
        <v>2094</v>
      </c>
      <c r="I2" s="825" t="s">
        <v>4456</v>
      </c>
      <c r="J2" s="825" t="s">
        <v>4211</v>
      </c>
      <c r="K2" s="825" t="s">
        <v>119</v>
      </c>
      <c r="L2" s="265" t="s">
        <v>4202</v>
      </c>
      <c r="M2" s="265" t="s">
        <v>4194</v>
      </c>
      <c r="N2" s="265" t="s">
        <v>126</v>
      </c>
      <c r="O2" s="265" t="s">
        <v>2094</v>
      </c>
    </row>
    <row r="3" spans="1:15" ht="49.950000" customHeight="1">
      <c r="A3" s="958" t="s">
        <v>4455</v>
      </c>
      <c r="B3" s="266">
        <v>1</v>
      </c>
      <c r="C3" s="961" t="s">
        <v>4458</v>
      </c>
      <c r="D3" s="932" t="e">
        <f>VLOOKUP(검색!$C3,보조설비분석!$B$2:$G$354,5,FALSE)</f>
        <v>#N/A</v>
      </c>
      <c r="E3" s="348" t="e">
        <f>VLOOKUP(검색!$C3,보조설비분석!$B$2:$G$354,6,FALSE)</f>
        <v>#N/A</v>
      </c>
      <c r="F3" s="826" t="e">
        <f>VLOOKUP(검색!$C3,보조설비분석!$B$2:$E$354,3,FALSE)</f>
        <v>#N/A</v>
      </c>
      <c r="G3" s="867" t="e">
        <f>VLOOKUP(검색!$C3,보조설비분석!$B$2:$E$354,4,FALSE)</f>
        <v>#N/A</v>
      </c>
      <c r="I3" s="958" t="s">
        <v>4455</v>
      </c>
      <c r="J3" s="266">
        <v>1</v>
      </c>
      <c r="K3" s="961" t="s">
        <v>4458</v>
      </c>
      <c r="L3" s="932" t="e">
        <f>VLOOKUP(검색!$K3,보조설비분석!$C$2:$G$354,4,FALSE)</f>
        <v>#N/A</v>
      </c>
      <c r="M3" s="348" t="e">
        <f>VLOOKUP(검색!$K3,보조설비분석!$C$2:$G$354,5,FALSE)</f>
        <v>#N/A</v>
      </c>
      <c r="N3" s="826" t="e">
        <f>VLOOKUP(검색!$K3,보조설비분석!$C$2:$G$354,2,FALSE)</f>
        <v>#N/A</v>
      </c>
      <c r="O3" s="255" t="e">
        <f>IF(IFERROR(VLOOKUP(검색!$K3,보조설비분석!$C$2:$G$354,1,FALSE),0)=0,VLOOKUP(검색!$K3,보조설비분석!$B$2:$G$354,4,FALSE),VLOOKUP(검색!$K3,보조설비분석!$C$2:$G$354,3,FALSE))</f>
        <v>#N/A</v>
      </c>
    </row>
    <row r="4" spans="1:15" ht="49.950000" customHeight="1">
      <c r="A4" s="956"/>
      <c r="B4" s="267">
        <v>2</v>
      </c>
      <c r="C4" s="961" t="s">
        <v>4458</v>
      </c>
      <c r="D4" s="932" t="e">
        <f>VLOOKUP(검색!$C4,보조설비분석!$B$2:$G$354,5,FALSE)</f>
        <v>#N/A</v>
      </c>
      <c r="E4" s="348" t="e">
        <f>VLOOKUP(검색!$C4,보조설비분석!$B$2:$G$354,6,FALSE)</f>
        <v>#N/A</v>
      </c>
      <c r="F4" s="826" t="e">
        <f>VLOOKUP(검색!$C4,보조설비분석!$B$2:$E$354,3,FALSE)</f>
        <v>#N/A</v>
      </c>
      <c r="G4" s="867" t="e">
        <f>VLOOKUP(검색!$C4,보조설비분석!$B$2:$E$354,4,FALSE)</f>
        <v>#N/A</v>
      </c>
      <c r="I4" s="956"/>
      <c r="J4" s="267">
        <v>2</v>
      </c>
      <c r="K4" s="961" t="s">
        <v>4458</v>
      </c>
      <c r="L4" s="932" t="e">
        <f>VLOOKUP(검색!$K4,보조설비분석!$C$2:$G$354,4,FALSE)</f>
        <v>#N/A</v>
      </c>
      <c r="M4" s="348" t="e">
        <f>VLOOKUP(검색!$K4,보조설비분석!$C$2:$G$354,5,FALSE)</f>
        <v>#N/A</v>
      </c>
      <c r="N4" s="826" t="e">
        <f>VLOOKUP(검색!$K4,보조설비분석!$C$2:$G$354,2,FALSE)</f>
        <v>#N/A</v>
      </c>
      <c r="O4" s="255" t="e">
        <f>IF(IFERROR(VLOOKUP(검색!$K4,보조설비분석!$C$2:$G$354,1,FALSE),0)=0,VLOOKUP(검색!$K4,보조설비분석!$B$2:$G$354,4,FALSE),VLOOKUP(검색!$K4,보조설비분석!$C$2:$G$354,3,FALSE))</f>
        <v>#N/A</v>
      </c>
    </row>
    <row r="5" spans="1:15" ht="49.950000" customHeight="1">
      <c r="A5" s="956"/>
      <c r="B5" s="267">
        <v>3</v>
      </c>
      <c r="C5" s="961" t="s">
        <v>4458</v>
      </c>
      <c r="D5" s="932" t="e">
        <f>VLOOKUP(검색!$C5,보조설비분석!$B$2:$G$354,5,FALSE)</f>
        <v>#N/A</v>
      </c>
      <c r="E5" s="348" t="e">
        <f>VLOOKUP(검색!$C5,보조설비분석!$B$2:$G$354,6,FALSE)</f>
        <v>#N/A</v>
      </c>
      <c r="F5" s="826" t="e">
        <f>VLOOKUP(검색!$C5,보조설비분석!$B$2:$E$354,3,FALSE)</f>
        <v>#N/A</v>
      </c>
      <c r="G5" s="867" t="e">
        <f>VLOOKUP(검색!$C5,보조설비분석!$B$2:$E$354,4,FALSE)</f>
        <v>#N/A</v>
      </c>
      <c r="I5" s="956"/>
      <c r="J5" s="267">
        <v>3</v>
      </c>
      <c r="K5" s="961" t="s">
        <v>4458</v>
      </c>
      <c r="L5" s="932" t="e">
        <f>VLOOKUP(검색!$K5,보조설비분석!$C$2:$G$354,4,FALSE)</f>
        <v>#N/A</v>
      </c>
      <c r="M5" s="348" t="e">
        <f>VLOOKUP(검색!$K5,보조설비분석!$C$2:$G$354,5,FALSE)</f>
        <v>#N/A</v>
      </c>
      <c r="N5" s="826" t="e">
        <f>VLOOKUP(검색!$K5,보조설비분석!$C$2:$G$354,2,FALSE)</f>
        <v>#N/A</v>
      </c>
      <c r="O5" s="255" t="e">
        <f>IF(IFERROR(VLOOKUP(검색!$K5,보조설비분석!$C$2:$G$354,1,FALSE),0)=0,VLOOKUP(검색!$K5,보조설비분석!$B$2:$G$354,4,FALSE),VLOOKUP(검색!$K5,보조설비분석!$C$2:$G$354,3,FALSE))</f>
        <v>#N/A</v>
      </c>
    </row>
    <row r="6" spans="1:15" ht="49.950000" customHeight="1">
      <c r="A6" s="956"/>
      <c r="B6" s="267">
        <v>4</v>
      </c>
      <c r="C6" s="961" t="s">
        <v>4458</v>
      </c>
      <c r="D6" s="932" t="e">
        <f>VLOOKUP(검색!$C6,보조설비분석!$B$2:$G$354,5,FALSE)</f>
        <v>#N/A</v>
      </c>
      <c r="E6" s="348" t="e">
        <f>VLOOKUP(검색!$C6,보조설비분석!$B$2:$G$354,6,FALSE)</f>
        <v>#N/A</v>
      </c>
      <c r="F6" s="826" t="e">
        <f>VLOOKUP(검색!$C6,보조설비분석!$B$2:$E$354,3,FALSE)</f>
        <v>#N/A</v>
      </c>
      <c r="G6" s="867" t="e">
        <f>VLOOKUP(검색!$C6,보조설비분석!$B$2:$E$354,4,FALSE)</f>
        <v>#N/A</v>
      </c>
      <c r="I6" s="956"/>
      <c r="J6" s="267">
        <v>4</v>
      </c>
      <c r="K6" s="961" t="s">
        <v>4458</v>
      </c>
      <c r="L6" s="932" t="e">
        <f>VLOOKUP(검색!$K6,보조설비분석!$C$2:$G$354,4,FALSE)</f>
        <v>#N/A</v>
      </c>
      <c r="M6" s="348" t="e">
        <f>VLOOKUP(검색!$K6,보조설비분석!$C$2:$G$354,5,FALSE)</f>
        <v>#N/A</v>
      </c>
      <c r="N6" s="826" t="e">
        <f>VLOOKUP(검색!$K6,보조설비분석!$C$2:$G$354,2,FALSE)</f>
        <v>#N/A</v>
      </c>
      <c r="O6" s="255" t="e">
        <f>IF(IFERROR(VLOOKUP(검색!$K6,보조설비분석!$C$2:$G$354,1,FALSE),0)=0,VLOOKUP(검색!$K6,보조설비분석!$B$2:$G$354,4,FALSE),VLOOKUP(검색!$K6,보조설비분석!$C$2:$G$354,3,FALSE))</f>
        <v>#N/A</v>
      </c>
    </row>
    <row r="7" spans="1:15" ht="49.950000" customHeight="1">
      <c r="A7" s="956"/>
      <c r="B7" s="267">
        <v>5</v>
      </c>
      <c r="C7" s="961" t="s">
        <v>4458</v>
      </c>
      <c r="D7" s="932" t="e">
        <f>VLOOKUP(검색!$C7,보조설비분석!$B$2:$G$354,5,FALSE)</f>
        <v>#N/A</v>
      </c>
      <c r="E7" s="348" t="e">
        <f>VLOOKUP(검색!$C7,보조설비분석!$B$2:$G$354,6,FALSE)</f>
        <v>#N/A</v>
      </c>
      <c r="F7" s="826" t="e">
        <f>VLOOKUP(검색!$C7,보조설비분석!$B$2:$E$354,3,FALSE)</f>
        <v>#N/A</v>
      </c>
      <c r="G7" s="867" t="e">
        <f>VLOOKUP(검색!$C7,보조설비분석!$B$2:$E$354,4,FALSE)</f>
        <v>#N/A</v>
      </c>
      <c r="I7" s="956"/>
      <c r="J7" s="267">
        <v>5</v>
      </c>
      <c r="K7" s="961" t="s">
        <v>4458</v>
      </c>
      <c r="L7" s="932" t="e">
        <f>VLOOKUP(검색!$K7,보조설비분석!$C$2:$G$354,4,FALSE)</f>
        <v>#N/A</v>
      </c>
      <c r="M7" s="348" t="e">
        <f>VLOOKUP(검색!$K7,보조설비분석!$C$2:$G$354,5,FALSE)</f>
        <v>#N/A</v>
      </c>
      <c r="N7" s="826" t="e">
        <f>VLOOKUP(검색!$K7,보조설비분석!$C$2:$G$354,2,FALSE)</f>
        <v>#N/A</v>
      </c>
      <c r="O7" s="255" t="e">
        <f>IF(IFERROR(VLOOKUP(검색!$K7,보조설비분석!$C$2:$G$354,1,FALSE),0)=0,VLOOKUP(검색!$K7,보조설비분석!$B$2:$G$354,4,FALSE),VLOOKUP(검색!$K7,보조설비분석!$C$2:$G$354,3,FALSE))</f>
        <v>#N/A</v>
      </c>
    </row>
    <row r="8" spans="1:15" ht="49.950000" customHeight="1">
      <c r="A8" s="956"/>
      <c r="B8" s="267">
        <v>6</v>
      </c>
      <c r="C8" s="961" t="s">
        <v>4458</v>
      </c>
      <c r="D8" s="932" t="e">
        <f>VLOOKUP(검색!$C8,보조설비분석!$B$2:$G$354,5,FALSE)</f>
        <v>#N/A</v>
      </c>
      <c r="E8" s="348" t="e">
        <f>VLOOKUP(검색!$C8,보조설비분석!$B$2:$G$354,6,FALSE)</f>
        <v>#N/A</v>
      </c>
      <c r="F8" s="826" t="e">
        <f>VLOOKUP(검색!$C8,보조설비분석!$B$2:$E$354,3,FALSE)</f>
        <v>#N/A</v>
      </c>
      <c r="G8" s="867" t="e">
        <f>VLOOKUP(검색!$C8,보조설비분석!$B$2:$E$354,4,FALSE)</f>
        <v>#N/A</v>
      </c>
      <c r="I8" s="956"/>
      <c r="J8" s="267">
        <v>6</v>
      </c>
      <c r="K8" s="961" t="s">
        <v>4458</v>
      </c>
      <c r="L8" s="932" t="e">
        <f>VLOOKUP(검색!$K8,보조설비분석!$C$2:$G$354,4,FALSE)</f>
        <v>#N/A</v>
      </c>
      <c r="M8" s="348" t="e">
        <f>VLOOKUP(검색!$K8,보조설비분석!$C$2:$G$354,5,FALSE)</f>
        <v>#N/A</v>
      </c>
      <c r="N8" s="826" t="e">
        <f>VLOOKUP(검색!$K8,보조설비분석!$C$2:$G$354,2,FALSE)</f>
        <v>#N/A</v>
      </c>
      <c r="O8" s="255" t="e">
        <f>IF(IFERROR(VLOOKUP(검색!$K8,보조설비분석!$C$2:$G$354,1,FALSE),0)=0,VLOOKUP(검색!$K8,보조설비분석!$B$2:$G$354,4,FALSE),VLOOKUP(검색!$K8,보조설비분석!$C$2:$G$354,3,FALSE))</f>
        <v>#N/A</v>
      </c>
    </row>
    <row r="9" spans="1:15" ht="49.950000" customHeight="1">
      <c r="A9" s="956"/>
      <c r="B9" s="267">
        <v>7</v>
      </c>
      <c r="C9" s="961" t="s">
        <v>4458</v>
      </c>
      <c r="D9" s="932" t="e">
        <f>VLOOKUP(검색!$C9,보조설비분석!$B$2:$G$354,5,FALSE)</f>
        <v>#N/A</v>
      </c>
      <c r="E9" s="348" t="e">
        <f>VLOOKUP(검색!$C9,보조설비분석!$B$2:$G$354,6,FALSE)</f>
        <v>#N/A</v>
      </c>
      <c r="F9" s="826" t="e">
        <f>VLOOKUP(검색!$C9,보조설비분석!$B$2:$E$354,3,FALSE)</f>
        <v>#N/A</v>
      </c>
      <c r="G9" s="867" t="e">
        <f>VLOOKUP(검색!$C9,보조설비분석!$B$2:$E$354,4,FALSE)</f>
        <v>#N/A</v>
      </c>
      <c r="I9" s="956"/>
      <c r="J9" s="267">
        <v>7</v>
      </c>
      <c r="K9" s="961" t="s">
        <v>4458</v>
      </c>
      <c r="L9" s="932" t="e">
        <f>VLOOKUP(검색!$K9,보조설비분석!$C$2:$G$354,4,FALSE)</f>
        <v>#N/A</v>
      </c>
      <c r="M9" s="348" t="e">
        <f>VLOOKUP(검색!$K9,보조설비분석!$C$2:$G$354,5,FALSE)</f>
        <v>#N/A</v>
      </c>
      <c r="N9" s="826" t="e">
        <f>VLOOKUP(검색!$K9,보조설비분석!$C$2:$G$354,2,FALSE)</f>
        <v>#N/A</v>
      </c>
      <c r="O9" s="255" t="e">
        <f>IF(IFERROR(VLOOKUP(검색!$K9,보조설비분석!$C$2:$G$354,1,FALSE),0)=0,VLOOKUP(검색!$K9,보조설비분석!$B$2:$G$354,4,FALSE),VLOOKUP(검색!$K9,보조설비분석!$C$2:$G$354,3,FALSE))</f>
        <v>#N/A</v>
      </c>
    </row>
    <row r="10" spans="1:15" ht="49.950000" customHeight="1">
      <c r="A10" s="957"/>
      <c r="B10" s="266">
        <v>8</v>
      </c>
      <c r="C10" s="961" t="s">
        <v>4458</v>
      </c>
      <c r="D10" s="932" t="e">
        <f>VLOOKUP(검색!$C10,보조설비분석!$B$2:$G$354,5,FALSE)</f>
        <v>#N/A</v>
      </c>
      <c r="E10" s="348" t="e">
        <f>VLOOKUP(검색!$C10,보조설비분석!$B$2:$G$354,6,FALSE)</f>
        <v>#N/A</v>
      </c>
      <c r="F10" s="826" t="e">
        <f>VLOOKUP(검색!$C10,보조설비분석!$B$2:$E$354,3,FALSE)</f>
        <v>#N/A</v>
      </c>
      <c r="G10" s="867" t="e">
        <f>VLOOKUP(검색!$C10,보조설비분석!$B$2:$E$354,4,FALSE)</f>
        <v>#N/A</v>
      </c>
      <c r="I10" s="957"/>
      <c r="J10" s="266">
        <v>8</v>
      </c>
      <c r="K10" s="961" t="s">
        <v>4458</v>
      </c>
      <c r="L10" s="932" t="e">
        <f>VLOOKUP(검색!$K10,보조설비분석!$C$2:$G$354,4,FALSE)</f>
        <v>#N/A</v>
      </c>
      <c r="M10" s="348" t="e">
        <f>VLOOKUP(검색!$K10,보조설비분석!$C$2:$G$354,5,FALSE)</f>
        <v>#N/A</v>
      </c>
      <c r="N10" s="826" t="e">
        <f>VLOOKUP(검색!$K10,보조설비분석!$C$2:$G$354,2,FALSE)</f>
        <v>#N/A</v>
      </c>
      <c r="O10" s="255" t="e">
        <f>IF(IFERROR(VLOOKUP(검색!$K10,보조설비분석!$C$2:$G$354,1,FALSE),0)=0,VLOOKUP(검색!$K10,보조설비분석!$B$2:$G$354,4,FALSE),VLOOKUP(검색!$K10,보조설비분석!$C$2:$G$354,3,FALSE))</f>
        <v>#N/A</v>
      </c>
    </row>
    <row r="11" spans="1:15" ht="30.000000" customHeight="1">
      <c r="F11" s="48"/>
      <c r="J11" s="1"/>
      <c r="N11" s="48"/>
      <c r="O11" s="48"/>
    </row>
    <row r="12" spans="1:15" ht="20.250000">
      <c r="A12" s="825" t="s">
        <v>4456</v>
      </c>
      <c r="B12" s="825" t="s">
        <v>4211</v>
      </c>
      <c r="C12" s="265" t="s">
        <v>119</v>
      </c>
      <c r="D12" s="265" t="s">
        <v>4202</v>
      </c>
      <c r="E12" s="265" t="s">
        <v>4194</v>
      </c>
      <c r="F12" s="265" t="s">
        <v>126</v>
      </c>
      <c r="I12" s="825" t="s">
        <v>4456</v>
      </c>
      <c r="J12" s="825" t="s">
        <v>4211</v>
      </c>
      <c r="K12" s="265" t="s">
        <v>119</v>
      </c>
      <c r="L12" s="265" t="s">
        <v>4202</v>
      </c>
      <c r="M12" s="265" t="s">
        <v>4194</v>
      </c>
      <c r="N12" s="265" t="s">
        <v>126</v>
      </c>
      <c r="O12" s="48"/>
    </row>
    <row r="13" spans="1:15" ht="49.950000" customHeight="1">
      <c r="A13" s="956" t="s">
        <v>86</v>
      </c>
      <c r="B13" s="266">
        <v>1</v>
      </c>
      <c r="C13" s="961" t="s">
        <v>4457</v>
      </c>
      <c r="D13" s="932" t="e">
        <f>VLOOKUP(검색!$C13,직업분석!$B$2:$F$345,4,FALSE)</f>
        <v>#N/A</v>
      </c>
      <c r="E13" s="348" t="e">
        <f>VLOOKUP(검색!$C13,직업분석!$B$2:$F$345,5,FALSE)</f>
        <v>#N/A</v>
      </c>
      <c r="F13" s="834" t="e">
        <f>VLOOKUP(검색!$C13,직업분석!$B$2:$D$345,3,FALSE)</f>
        <v>#N/A</v>
      </c>
      <c r="I13" s="956" t="s">
        <v>86</v>
      </c>
      <c r="J13" s="266">
        <v>1</v>
      </c>
      <c r="K13" s="961" t="s">
        <v>4457</v>
      </c>
      <c r="L13" s="932" t="e">
        <f>VLOOKUP(검색!$K13,직업분석!$C$2:$F$345,3,FALSE)</f>
        <v>#N/A</v>
      </c>
      <c r="M13" s="348" t="e">
        <f>VLOOKUP(검색!$K13,직업분석!$C$2:$F$345,4,FALSE)</f>
        <v>#N/A</v>
      </c>
      <c r="N13" s="834" t="e">
        <f>VLOOKUP(검색!$K13,직업분석!$C$2:$F$345,2,FALSE)</f>
        <v>#N/A</v>
      </c>
      <c r="O13" s="48"/>
    </row>
    <row r="14" spans="1:15" ht="49.950000" customHeight="1">
      <c r="A14" s="956"/>
      <c r="B14" s="267">
        <v>2</v>
      </c>
      <c r="C14" s="961" t="s">
        <v>4457</v>
      </c>
      <c r="D14" s="932" t="e">
        <f>VLOOKUP(검색!$C14,직업분석!$B$2:$F$345,4,FALSE)</f>
        <v>#N/A</v>
      </c>
      <c r="E14" s="348" t="e">
        <f>VLOOKUP(검색!$C14,직업분석!$B$2:$F$345,5,FALSE)</f>
        <v>#N/A</v>
      </c>
      <c r="F14" s="834" t="e">
        <f>VLOOKUP(검색!$C14,직업분석!$B$2:$D$345,3,FALSE)</f>
        <v>#N/A</v>
      </c>
      <c r="I14" s="956"/>
      <c r="J14" s="267">
        <v>2</v>
      </c>
      <c r="K14" s="961" t="s">
        <v>4457</v>
      </c>
      <c r="L14" s="932" t="e">
        <f>VLOOKUP(검색!$K14,직업분석!$C$2:$F$345,3,FALSE)</f>
        <v>#N/A</v>
      </c>
      <c r="M14" s="348" t="e">
        <f>VLOOKUP(검색!$K14,직업분석!$C$2:$F$345,4,FALSE)</f>
        <v>#N/A</v>
      </c>
      <c r="N14" s="834" t="e">
        <f>VLOOKUP(검색!$K14,직업분석!$C$2:$F$345,2,FALSE)</f>
        <v>#N/A</v>
      </c>
      <c r="O14" s="48"/>
    </row>
    <row r="15" spans="1:15" ht="49.950000" customHeight="1">
      <c r="A15" s="956"/>
      <c r="B15" s="267">
        <v>3</v>
      </c>
      <c r="C15" s="961" t="s">
        <v>4457</v>
      </c>
      <c r="D15" s="932" t="e">
        <f>VLOOKUP(검색!$C15,직업분석!$B$2:$F$345,4,FALSE)</f>
        <v>#N/A</v>
      </c>
      <c r="E15" s="348" t="e">
        <f>VLOOKUP(검색!$C15,직업분석!$B$2:$F$345,5,FALSE)</f>
        <v>#N/A</v>
      </c>
      <c r="F15" s="834" t="e">
        <f>VLOOKUP(검색!$C15,직업분석!$B$2:$D$345,3,FALSE)</f>
        <v>#N/A</v>
      </c>
      <c r="I15" s="956"/>
      <c r="J15" s="267">
        <v>3</v>
      </c>
      <c r="K15" s="961" t="s">
        <v>4457</v>
      </c>
      <c r="L15" s="932" t="e">
        <f>VLOOKUP(검색!$K15,직업분석!$C$2:$F$345,3,FALSE)</f>
        <v>#N/A</v>
      </c>
      <c r="M15" s="348" t="e">
        <f>VLOOKUP(검색!$K15,직업분석!$C$2:$F$345,4,FALSE)</f>
        <v>#N/A</v>
      </c>
      <c r="N15" s="834" t="e">
        <f>VLOOKUP(검색!$K15,직업분석!$C$2:$F$345,2,FALSE)</f>
        <v>#N/A</v>
      </c>
      <c r="O15" s="48"/>
    </row>
    <row r="16" spans="1:15" ht="49.950000" customHeight="1">
      <c r="A16" s="956"/>
      <c r="B16" s="267">
        <v>4</v>
      </c>
      <c r="C16" s="961" t="s">
        <v>4457</v>
      </c>
      <c r="D16" s="932" t="e">
        <f>VLOOKUP(검색!$C16,직업분석!$B$2:$F$345,4,FALSE)</f>
        <v>#N/A</v>
      </c>
      <c r="E16" s="348" t="e">
        <f>VLOOKUP(검색!$C16,직업분석!$B$2:$F$345,5,FALSE)</f>
        <v>#N/A</v>
      </c>
      <c r="F16" s="834" t="e">
        <f>VLOOKUP(검색!$C16,직업분석!$B$2:$D$345,3,FALSE)</f>
        <v>#N/A</v>
      </c>
      <c r="G16" s="15"/>
      <c r="I16" s="956"/>
      <c r="J16" s="267">
        <v>4</v>
      </c>
      <c r="K16" s="961" t="s">
        <v>4457</v>
      </c>
      <c r="L16" s="932" t="e">
        <f>VLOOKUP(검색!$K16,직업분석!$C$2:$F$345,3,FALSE)</f>
        <v>#N/A</v>
      </c>
      <c r="M16" s="348" t="e">
        <f>VLOOKUP(검색!$K16,직업분석!$C$2:$F$345,4,FALSE)</f>
        <v>#N/A</v>
      </c>
      <c r="N16" s="834" t="e">
        <f>VLOOKUP(검색!$K16,직업분석!$C$2:$F$345,2,FALSE)</f>
        <v>#N/A</v>
      </c>
      <c r="O16" s="15"/>
    </row>
    <row r="17" spans="1:15" ht="49.950000" customHeight="1">
      <c r="A17" s="956"/>
      <c r="B17" s="267">
        <v>5</v>
      </c>
      <c r="C17" s="961" t="s">
        <v>4457</v>
      </c>
      <c r="D17" s="932" t="e">
        <f>VLOOKUP(검색!$C17,직업분석!$B$2:$F$345,4,FALSE)</f>
        <v>#N/A</v>
      </c>
      <c r="E17" s="348" t="e">
        <f>VLOOKUP(검색!$C17,직업분석!$B$2:$F$345,5,FALSE)</f>
        <v>#N/A</v>
      </c>
      <c r="F17" s="834" t="e">
        <f>VLOOKUP(검색!$C17,직업분석!$B$2:$D$345,3,FALSE)</f>
        <v>#N/A</v>
      </c>
      <c r="I17" s="956"/>
      <c r="J17" s="267">
        <v>5</v>
      </c>
      <c r="K17" s="961" t="s">
        <v>4457</v>
      </c>
      <c r="L17" s="932" t="e">
        <f>VLOOKUP(검색!$K17,직업분석!$C$2:$F$345,3,FALSE)</f>
        <v>#N/A</v>
      </c>
      <c r="M17" s="348" t="e">
        <f>VLOOKUP(검색!$K17,직업분석!$C$2:$F$345,4,FALSE)</f>
        <v>#N/A</v>
      </c>
      <c r="N17" s="834" t="e">
        <f>VLOOKUP(검색!$K17,직업분석!$C$2:$F$345,2,FALSE)</f>
        <v>#N/A</v>
      </c>
      <c r="O17" s="48"/>
    </row>
    <row r="18" spans="1:15" ht="49.950000" customHeight="1">
      <c r="A18" s="956"/>
      <c r="B18" s="267">
        <v>6</v>
      </c>
      <c r="C18" s="961" t="s">
        <v>4457</v>
      </c>
      <c r="D18" s="932" t="e">
        <f>VLOOKUP(검색!$C18,직업분석!$B$2:$F$345,4,FALSE)</f>
        <v>#N/A</v>
      </c>
      <c r="E18" s="348" t="e">
        <f>VLOOKUP(검색!$C18,직업분석!$B$2:$F$345,5,FALSE)</f>
        <v>#N/A</v>
      </c>
      <c r="F18" s="834" t="e">
        <f>VLOOKUP(검색!$C18,직업분석!$B$2:$D$345,3,FALSE)</f>
        <v>#N/A</v>
      </c>
      <c r="I18" s="956"/>
      <c r="J18" s="267">
        <v>6</v>
      </c>
      <c r="K18" s="961" t="s">
        <v>4457</v>
      </c>
      <c r="L18" s="932" t="e">
        <f>VLOOKUP(검색!$K18,직업분석!$C$2:$F$345,3,FALSE)</f>
        <v>#N/A</v>
      </c>
      <c r="M18" s="348" t="e">
        <f>VLOOKUP(검색!$K18,직업분석!$C$2:$F$345,4,FALSE)</f>
        <v>#N/A</v>
      </c>
      <c r="N18" s="834" t="e">
        <f>VLOOKUP(검색!$K18,직업분석!$C$2:$F$345,2,FALSE)</f>
        <v>#N/A</v>
      </c>
      <c r="O18" s="48"/>
    </row>
    <row r="19" spans="1:15" ht="49.950000" customHeight="1">
      <c r="A19" s="956"/>
      <c r="B19" s="267">
        <v>7</v>
      </c>
      <c r="C19" s="961" t="s">
        <v>4457</v>
      </c>
      <c r="D19" s="932" t="e">
        <f>VLOOKUP(검색!$C19,직업분석!$B$2:$F$345,4,FALSE)</f>
        <v>#N/A</v>
      </c>
      <c r="E19" s="348" t="e">
        <f>VLOOKUP(검색!$C19,직업분석!$B$2:$F$345,5,FALSE)</f>
        <v>#N/A</v>
      </c>
      <c r="F19" s="834" t="e">
        <f>VLOOKUP(검색!$C19,직업분석!$B$2:$D$345,3,FALSE)</f>
        <v>#N/A</v>
      </c>
      <c r="I19" s="956"/>
      <c r="J19" s="267">
        <v>7</v>
      </c>
      <c r="K19" s="961" t="s">
        <v>4457</v>
      </c>
      <c r="L19" s="932" t="e">
        <f>VLOOKUP(검색!$K19,직업분석!$C$2:$F$345,3,FALSE)</f>
        <v>#N/A</v>
      </c>
      <c r="M19" s="348" t="e">
        <f>VLOOKUP(검색!$K19,직업분석!$C$2:$F$345,4,FALSE)</f>
        <v>#N/A</v>
      </c>
      <c r="N19" s="834" t="e">
        <f>VLOOKUP(검색!$K19,직업분석!$C$2:$F$345,2,FALSE)</f>
        <v>#N/A</v>
      </c>
      <c r="O19" s="48"/>
    </row>
    <row r="20" spans="1:15" ht="49.950000" customHeight="1">
      <c r="A20" s="957"/>
      <c r="B20" s="266">
        <v>8</v>
      </c>
      <c r="C20" s="961" t="s">
        <v>4457</v>
      </c>
      <c r="D20" s="932" t="e">
        <f>VLOOKUP(검색!$C20,직업분석!$B$2:$F$345,4,FALSE)</f>
        <v>#N/A</v>
      </c>
      <c r="E20" s="348" t="e">
        <f>VLOOKUP(검색!$C20,직업분석!$B$2:$F$345,5,FALSE)</f>
        <v>#N/A</v>
      </c>
      <c r="F20" s="834" t="e">
        <f>VLOOKUP(검색!$C20,직업분석!$B$2:$D$345,3,FALSE)</f>
        <v>#N/A</v>
      </c>
      <c r="I20" s="957"/>
      <c r="J20" s="266">
        <v>8</v>
      </c>
      <c r="K20" s="961" t="s">
        <v>4457</v>
      </c>
      <c r="L20" s="932" t="e">
        <f>VLOOKUP(검색!$K20,직업분석!$C$2:$F$345,3,FALSE)</f>
        <v>#N/A</v>
      </c>
      <c r="M20" s="348" t="e">
        <f>VLOOKUP(검색!$K20,직업분석!$C$2:$F$345,4,FALSE)</f>
        <v>#N/A</v>
      </c>
      <c r="N20" s="834" t="e">
        <f>VLOOKUP(검색!$K20,직업분석!$C$2:$F$345,2,FALSE)</f>
        <v>#N/A</v>
      </c>
      <c r="O20" s="48"/>
    </row>
    <row r="24" ht="49.500000" customHeight="1"/>
    <row r="26" spans="1:15">
      <c r="E26" s="1"/>
    </row>
    <row r="27" ht="20.250000" customHeight="1"/>
    <row r="28" ht="20.250000" customHeight="1"/>
    <row r="29" ht="20.250000" customHeight="1"/>
    <row r="30" spans="1:15">
      <c r="D30" s="36"/>
      <c r="E30" s="1"/>
      <c r="G30" s="36"/>
    </row>
    <row r="31" spans="1:15">
      <c r="E31" s="1"/>
      <c r="F31" s="1"/>
    </row>
    <row r="32" spans="1:15">
      <c r="E32" s="1"/>
      <c r="F32" s="1"/>
    </row>
    <row r="33" spans="5:9">
      <c r="E33" s="1"/>
      <c r="F33" s="1"/>
      <c r="G33" s="20"/>
    </row>
    <row r="34" spans="5:9">
      <c r="F34" s="1"/>
      <c r="G34" s="20"/>
      <c r="H34" s="1"/>
      <c r="I34" s="1"/>
    </row>
    <row r="35" spans="5:9">
      <c r="F35" s="20"/>
      <c r="G35" s="36"/>
    </row>
    <row r="36" spans="5:9">
      <c r="E36" s="42"/>
      <c r="F36" s="42"/>
    </row>
    <row r="37" spans="5:9">
      <c r="E37" s="42"/>
    </row>
    <row r="40" spans="5:9">
      <c r="E40" s="1"/>
    </row>
    <row r="52" spans="5:6">
      <c r="E52" s="36"/>
    </row>
    <row r="53" spans="5:6">
      <c r="E53" s="1"/>
    </row>
    <row r="54" spans="5:6">
      <c r="F54" s="1"/>
    </row>
    <row r="55" spans="5:6">
      <c r="F55" s="1"/>
    </row>
  </sheetData>
  <mergeCells count="6">
    <mergeCell ref="B1:D1"/>
    <mergeCell ref="J1:L1"/>
    <mergeCell ref="A3:A10"/>
    <mergeCell ref="I3:I10"/>
    <mergeCell ref="A13:A20"/>
    <mergeCell ref="I13:I20"/>
  </mergeCells>
  <phoneticPr fontId="1" type="noConversion"/>
  <conditionalFormatting sqref="D3:E3 D4:G10 E4 E5 E6 E7 E8 E9 E10">
    <cfRule type="cellIs" dxfId="403" priority="11790" operator="equal">
      <formula>1</formula>
    </cfRule>
    <cfRule type="cellIs" dxfId="402" priority="11791" operator="equal">
      <formula>"Special"</formula>
    </cfRule>
    <cfRule type="cellIs" dxfId="401" priority="11792" operator="equal">
      <formula>2</formula>
    </cfRule>
    <cfRule type="cellIs" dxfId="400" priority="11793" operator="equal">
      <formula>3</formula>
    </cfRule>
    <cfRule type="cellIs" dxfId="399" priority="11794" operator="equal">
      <formula>4</formula>
    </cfRule>
    <cfRule type="cellIs" dxfId="398" priority="11795" operator="equal">
      <formula>5</formula>
    </cfRule>
    <cfRule type="cellIs" dxfId="397" priority="11802" operator="equal">
      <formula>1</formula>
    </cfRule>
    <cfRule type="cellIs" dxfId="396" priority="11803" operator="equal">
      <formula>"Special"</formula>
    </cfRule>
    <cfRule type="cellIs" dxfId="395" priority="11804" operator="equal">
      <formula>2</formula>
    </cfRule>
    <cfRule type="cellIs" dxfId="394" priority="11805" operator="equal">
      <formula>3</formula>
    </cfRule>
    <cfRule type="cellIs" dxfId="393" priority="11806" operator="equal">
      <formula>4</formula>
    </cfRule>
    <cfRule type="cellIs" dxfId="392" priority="11807" operator="equal">
      <formula>5</formula>
    </cfRule>
    <cfRule type="cellIs" dxfId="385" priority="11814" operator="equal">
      <formula>1</formula>
    </cfRule>
    <cfRule type="cellIs" dxfId="384" priority="11815" operator="equal">
      <formula>"Special"</formula>
    </cfRule>
    <cfRule type="cellIs" dxfId="383" priority="11816" operator="equal">
      <formula>2</formula>
    </cfRule>
    <cfRule type="cellIs" dxfId="382" priority="11817" operator="equal">
      <formula>3</formula>
    </cfRule>
    <cfRule type="cellIs" dxfId="381" priority="11818" operator="equal">
      <formula>4</formula>
    </cfRule>
    <cfRule type="cellIs" dxfId="380" priority="11819" operator="equal">
      <formula>5</formula>
    </cfRule>
  </conditionalFormatting>
  <conditionalFormatting sqref="D13:E13 D14:E20 E14 E15 E16 E17 E18 E19 E20">
    <cfRule type="cellIs" dxfId="409" priority="11646" operator="equal">
      <formula>1</formula>
    </cfRule>
    <cfRule type="cellIs" dxfId="408" priority="11647" operator="equal">
      <formula>"Special"</formula>
    </cfRule>
    <cfRule type="cellIs" dxfId="407" priority="11648" operator="equal">
      <formula>2</formula>
    </cfRule>
    <cfRule type="cellIs" dxfId="406" priority="11649" operator="equal">
      <formula>3</formula>
    </cfRule>
    <cfRule type="cellIs" dxfId="405" priority="11650" operator="equal">
      <formula>4</formula>
    </cfRule>
    <cfRule type="cellIs" dxfId="404" priority="11651" operator="equal">
      <formula>5</formula>
    </cfRule>
    <cfRule type="cellIs" dxfId="391" priority="11664" operator="equal">
      <formula>1</formula>
    </cfRule>
    <cfRule type="cellIs" dxfId="390" priority="11665" operator="equal">
      <formula>"Special"</formula>
    </cfRule>
    <cfRule type="cellIs" dxfId="389" priority="11666" operator="equal">
      <formula>2</formula>
    </cfRule>
    <cfRule type="cellIs" dxfId="388" priority="11667" operator="equal">
      <formula>3</formula>
    </cfRule>
    <cfRule type="cellIs" dxfId="387" priority="11668" operator="equal">
      <formula>4</formula>
    </cfRule>
    <cfRule type="cellIs" dxfId="386" priority="11669" operator="equal">
      <formula>5</formula>
    </cfRule>
  </conditionalFormatting>
  <conditionalFormatting sqref="D13:E20">
    <cfRule type="cellIs" dxfId="410" priority="11633" operator="equal">
      <formula>"S"</formula>
    </cfRule>
  </conditionalFormatting>
  <conditionalFormatting sqref="D3:D10">
    <cfRule type="cellIs" dxfId="411" priority="11620" operator="equal">
      <formula>"S"</formula>
    </cfRule>
  </conditionalFormatting>
  <conditionalFormatting sqref="L4:N10 M5:O5 M5:O5 M6:O6 M6:O6 M7:O7 M7:O7 M8:O8 M8:O8 M9:O9 M9:O9 M10:O10 M10:O10">
    <cfRule type="cellIs" dxfId="647" priority="9782" operator="equal">
      <formula>"S"</formula>
    </cfRule>
    <cfRule type="cellIs" dxfId="585" priority="11110" operator="equal">
      <formula>1</formula>
    </cfRule>
    <cfRule type="cellIs" dxfId="578" priority="11184" operator="equal">
      <formula>"Special"</formula>
    </cfRule>
    <cfRule type="cellIs" dxfId="571" priority="11192" operator="equal">
      <formula>2</formula>
    </cfRule>
    <cfRule type="cellIs" dxfId="564" priority="11200" operator="equal">
      <formula>3</formula>
    </cfRule>
    <cfRule type="cellIs" dxfId="557" priority="11208" operator="equal">
      <formula>4</formula>
    </cfRule>
    <cfRule type="cellIs" dxfId="550" priority="11216" operator="equal">
      <formula>5</formula>
    </cfRule>
    <cfRule type="cellIs" dxfId="543" priority="11224" operator="equal">
      <formula>1</formula>
    </cfRule>
    <cfRule type="cellIs" dxfId="536" priority="11231" operator="equal">
      <formula>"Special"</formula>
    </cfRule>
    <cfRule type="cellIs" dxfId="529" priority="11238" operator="equal">
      <formula>2</formula>
    </cfRule>
    <cfRule type="cellIs" dxfId="522" priority="11269" operator="equal">
      <formula>3</formula>
    </cfRule>
    <cfRule type="cellIs" dxfId="515" priority="11288" operator="equal">
      <formula>4</formula>
    </cfRule>
    <cfRule type="cellIs" dxfId="508" priority="11295" operator="equal">
      <formula>5</formula>
    </cfRule>
    <cfRule type="cellIs" dxfId="447" priority="11356" operator="equal">
      <formula>1</formula>
    </cfRule>
    <cfRule type="cellIs" dxfId="440" priority="11363" operator="equal">
      <formula>"Special"</formula>
    </cfRule>
    <cfRule type="cellIs" dxfId="433" priority="11370" operator="equal">
      <formula>2</formula>
    </cfRule>
    <cfRule type="cellIs" dxfId="426" priority="11377" operator="equal">
      <formula>3</formula>
    </cfRule>
    <cfRule type="cellIs" dxfId="419" priority="11384" operator="equal">
      <formula>4</formula>
    </cfRule>
    <cfRule type="cellIs" dxfId="412" priority="11391" operator="equal">
      <formula>5</formula>
    </cfRule>
  </conditionalFormatting>
  <conditionalFormatting sqref="L4:N10 M4:O4 M5:O5 M6:O6 M7:O7 M8:O8 M9:O9 M10:O10">
    <cfRule type="cellIs" dxfId="591" priority="9880" operator="equal">
      <formula>1</formula>
    </cfRule>
    <cfRule type="cellIs" dxfId="590" priority="9881" operator="equal">
      <formula>1</formula>
    </cfRule>
    <cfRule type="cellIs" dxfId="589" priority="9882" operator="equal">
      <formula>1</formula>
    </cfRule>
    <cfRule type="cellIs" dxfId="588" priority="9883" operator="equal">
      <formula>1</formula>
    </cfRule>
    <cfRule type="cellIs" dxfId="587" priority="9884" operator="equal">
      <formula>1</formula>
    </cfRule>
    <cfRule type="cellIs" dxfId="586" priority="9885" operator="equal">
      <formula>1</formula>
    </cfRule>
    <cfRule type="cellIs" dxfId="584" priority="9887" operator="equal">
      <formula>"Special"</formula>
    </cfRule>
    <cfRule type="cellIs" dxfId="583" priority="9888" operator="equal">
      <formula>"Special"</formula>
    </cfRule>
    <cfRule type="cellIs" dxfId="582" priority="9889" operator="equal">
      <formula>"Special"</formula>
    </cfRule>
    <cfRule type="cellIs" dxfId="581" priority="9890" operator="equal">
      <formula>"Special"</formula>
    </cfRule>
    <cfRule type="cellIs" dxfId="580" priority="9891" operator="equal">
      <formula>"Special"</formula>
    </cfRule>
    <cfRule type="cellIs" dxfId="579" priority="9892" operator="equal">
      <formula>"Special"</formula>
    </cfRule>
    <cfRule type="cellIs" dxfId="577" priority="9894" operator="equal">
      <formula>2</formula>
    </cfRule>
    <cfRule type="cellIs" dxfId="576" priority="9895" operator="equal">
      <formula>2</formula>
    </cfRule>
    <cfRule type="cellIs" dxfId="575" priority="9896" operator="equal">
      <formula>2</formula>
    </cfRule>
    <cfRule type="cellIs" dxfId="574" priority="9897" operator="equal">
      <formula>2</formula>
    </cfRule>
    <cfRule type="cellIs" dxfId="573" priority="9898" operator="equal">
      <formula>2</formula>
    </cfRule>
    <cfRule type="cellIs" dxfId="572" priority="9899" operator="equal">
      <formula>2</formula>
    </cfRule>
    <cfRule type="cellIs" dxfId="570" priority="9901" operator="equal">
      <formula>3</formula>
    </cfRule>
    <cfRule type="cellIs" dxfId="569" priority="9902" operator="equal">
      <formula>3</formula>
    </cfRule>
    <cfRule type="cellIs" dxfId="568" priority="9903" operator="equal">
      <formula>3</formula>
    </cfRule>
    <cfRule type="cellIs" dxfId="567" priority="9904" operator="equal">
      <formula>3</formula>
    </cfRule>
    <cfRule type="cellIs" dxfId="566" priority="9905" operator="equal">
      <formula>3</formula>
    </cfRule>
    <cfRule type="cellIs" dxfId="565" priority="9906" operator="equal">
      <formula>3</formula>
    </cfRule>
    <cfRule type="cellIs" dxfId="563" priority="9908" operator="equal">
      <formula>4</formula>
    </cfRule>
    <cfRule type="cellIs" dxfId="562" priority="9909" operator="equal">
      <formula>4</formula>
    </cfRule>
    <cfRule type="cellIs" dxfId="561" priority="9910" operator="equal">
      <formula>4</formula>
    </cfRule>
    <cfRule type="cellIs" dxfId="560" priority="9911" operator="equal">
      <formula>4</formula>
    </cfRule>
    <cfRule type="cellIs" dxfId="559" priority="9912" operator="equal">
      <formula>4</formula>
    </cfRule>
    <cfRule type="cellIs" dxfId="558" priority="9913" operator="equal">
      <formula>4</formula>
    </cfRule>
    <cfRule type="cellIs" dxfId="556" priority="9915" operator="equal">
      <formula>5</formula>
    </cfRule>
    <cfRule type="cellIs" dxfId="555" priority="9916" operator="equal">
      <formula>5</formula>
    </cfRule>
    <cfRule type="cellIs" dxfId="554" priority="9917" operator="equal">
      <formula>5</formula>
    </cfRule>
    <cfRule type="cellIs" dxfId="553" priority="9918" operator="equal">
      <formula>5</formula>
    </cfRule>
    <cfRule type="cellIs" dxfId="552" priority="9919" operator="equal">
      <formula>5</formula>
    </cfRule>
    <cfRule type="cellIs" dxfId="551" priority="9920" operator="equal">
      <formula>5</formula>
    </cfRule>
    <cfRule type="cellIs" dxfId="549" priority="9922" operator="equal">
      <formula>1</formula>
    </cfRule>
    <cfRule type="cellIs" dxfId="548" priority="9923" operator="equal">
      <formula>1</formula>
    </cfRule>
    <cfRule type="cellIs" dxfId="547" priority="9924" operator="equal">
      <formula>1</formula>
    </cfRule>
    <cfRule type="cellIs" dxfId="546" priority="9925" operator="equal">
      <formula>1</formula>
    </cfRule>
    <cfRule type="cellIs" dxfId="545" priority="9926" operator="equal">
      <formula>1</formula>
    </cfRule>
    <cfRule type="cellIs" dxfId="544" priority="9927" operator="equal">
      <formula>1</formula>
    </cfRule>
    <cfRule type="cellIs" dxfId="542" priority="9930" operator="equal">
      <formula>"Special"</formula>
    </cfRule>
    <cfRule type="cellIs" dxfId="541" priority="9931" operator="equal">
      <formula>"Special"</formula>
    </cfRule>
    <cfRule type="cellIs" dxfId="540" priority="9932" operator="equal">
      <formula>"Special"</formula>
    </cfRule>
    <cfRule type="cellIs" dxfId="539" priority="9933" operator="equal">
      <formula>"Special"</formula>
    </cfRule>
    <cfRule type="cellIs" dxfId="538" priority="9934" operator="equal">
      <formula>"Special"</formula>
    </cfRule>
    <cfRule type="cellIs" dxfId="537" priority="9936" operator="equal">
      <formula>"Special"</formula>
    </cfRule>
    <cfRule type="cellIs" dxfId="535" priority="9939" operator="equal">
      <formula>2</formula>
    </cfRule>
    <cfRule type="cellIs" dxfId="534" priority="9940" operator="equal">
      <formula>2</formula>
    </cfRule>
    <cfRule type="cellIs" dxfId="533" priority="9941" operator="equal">
      <formula>2</formula>
    </cfRule>
    <cfRule type="cellIs" dxfId="532" priority="9942" operator="equal">
      <formula>2</formula>
    </cfRule>
    <cfRule type="cellIs" dxfId="531" priority="9944" operator="equal">
      <formula>2</formula>
    </cfRule>
    <cfRule type="cellIs" dxfId="530" priority="9947" operator="equal">
      <formula>2</formula>
    </cfRule>
    <cfRule type="cellIs" dxfId="528" priority="9949" operator="equal">
      <formula>3</formula>
    </cfRule>
    <cfRule type="cellIs" dxfId="527" priority="9950" operator="equal">
      <formula>3</formula>
    </cfRule>
    <cfRule type="cellIs" dxfId="526" priority="9951" operator="equal">
      <formula>3</formula>
    </cfRule>
    <cfRule type="cellIs" dxfId="525" priority="9953" operator="equal">
      <formula>3</formula>
    </cfRule>
    <cfRule type="cellIs" dxfId="524" priority="9957" operator="equal">
      <formula>3</formula>
    </cfRule>
    <cfRule type="cellIs" dxfId="523" priority="9958" operator="equal">
      <formula>3</formula>
    </cfRule>
    <cfRule type="cellIs" dxfId="521" priority="9960" operator="equal">
      <formula>4</formula>
    </cfRule>
    <cfRule type="cellIs" dxfId="520" priority="9961" operator="equal">
      <formula>4</formula>
    </cfRule>
    <cfRule type="cellIs" dxfId="519" priority="9963" operator="equal">
      <formula>4</formula>
    </cfRule>
    <cfRule type="cellIs" dxfId="518" priority="9968" operator="equal">
      <formula>4</formula>
    </cfRule>
    <cfRule type="cellIs" dxfId="517" priority="9969" operator="equal">
      <formula>4</formula>
    </cfRule>
    <cfRule type="cellIs" dxfId="516" priority="9970" operator="equal">
      <formula>4</formula>
    </cfRule>
    <cfRule type="cellIs" dxfId="514" priority="9972" operator="equal">
      <formula>5</formula>
    </cfRule>
    <cfRule type="cellIs" dxfId="513" priority="9975" operator="equal">
      <formula>5</formula>
    </cfRule>
    <cfRule type="cellIs" dxfId="512" priority="9980" operator="equal">
      <formula>5</formula>
    </cfRule>
    <cfRule type="cellIs" dxfId="511" priority="9981" operator="equal">
      <formula>5</formula>
    </cfRule>
    <cfRule type="cellIs" dxfId="510" priority="9982" operator="equal">
      <formula>5</formula>
    </cfRule>
    <cfRule type="cellIs" dxfId="509" priority="9983" operator="equal">
      <formula>5</formula>
    </cfRule>
    <cfRule type="cellIs" dxfId="453" priority="10054" operator="equal">
      <formula>1</formula>
    </cfRule>
    <cfRule type="cellIs" dxfId="452" priority="10055" operator="equal">
      <formula>1</formula>
    </cfRule>
    <cfRule type="cellIs" dxfId="451" priority="10056" operator="equal">
      <formula>1</formula>
    </cfRule>
    <cfRule type="cellIs" dxfId="450" priority="10057" operator="equal">
      <formula>1</formula>
    </cfRule>
    <cfRule type="cellIs" dxfId="449" priority="10058" operator="equal">
      <formula>1</formula>
    </cfRule>
    <cfRule type="cellIs" dxfId="448" priority="10059" operator="equal">
      <formula>1</formula>
    </cfRule>
    <cfRule type="cellIs" dxfId="446" priority="10061" operator="equal">
      <formula>"Special"</formula>
    </cfRule>
    <cfRule type="cellIs" dxfId="445" priority="10062" operator="equal">
      <formula>"Special"</formula>
    </cfRule>
    <cfRule type="cellIs" dxfId="444" priority="10063" operator="equal">
      <formula>"Special"</formula>
    </cfRule>
    <cfRule type="cellIs" dxfId="443" priority="10064" operator="equal">
      <formula>"Special"</formula>
    </cfRule>
    <cfRule type="cellIs" dxfId="442" priority="10065" operator="equal">
      <formula>"Special"</formula>
    </cfRule>
    <cfRule type="cellIs" dxfId="441" priority="10066" operator="equal">
      <formula>"Special"</formula>
    </cfRule>
    <cfRule type="cellIs" dxfId="439" priority="10068" operator="equal">
      <formula>2</formula>
    </cfRule>
    <cfRule type="cellIs" dxfId="438" priority="10069" operator="equal">
      <formula>2</formula>
    </cfRule>
    <cfRule type="cellIs" dxfId="437" priority="10070" operator="equal">
      <formula>2</formula>
    </cfRule>
    <cfRule type="cellIs" dxfId="436" priority="10071" operator="equal">
      <formula>2</formula>
    </cfRule>
    <cfRule type="cellIs" dxfId="435" priority="10072" operator="equal">
      <formula>2</formula>
    </cfRule>
    <cfRule type="cellIs" dxfId="434" priority="10073" operator="equal">
      <formula>2</formula>
    </cfRule>
    <cfRule type="cellIs" dxfId="432" priority="10075" operator="equal">
      <formula>3</formula>
    </cfRule>
    <cfRule type="cellIs" dxfId="431" priority="10076" operator="equal">
      <formula>3</formula>
    </cfRule>
    <cfRule type="cellIs" dxfId="430" priority="10077" operator="equal">
      <formula>3</formula>
    </cfRule>
    <cfRule type="cellIs" dxfId="429" priority="10078" operator="equal">
      <formula>3</formula>
    </cfRule>
    <cfRule type="cellIs" dxfId="428" priority="10079" operator="equal">
      <formula>3</formula>
    </cfRule>
    <cfRule type="cellIs" dxfId="427" priority="10080" operator="equal">
      <formula>3</formula>
    </cfRule>
    <cfRule type="cellIs" dxfId="425" priority="10082" operator="equal">
      <formula>4</formula>
    </cfRule>
    <cfRule type="cellIs" dxfId="424" priority="10083" operator="equal">
      <formula>4</formula>
    </cfRule>
    <cfRule type="cellIs" dxfId="423" priority="10084" operator="equal">
      <formula>4</formula>
    </cfRule>
    <cfRule type="cellIs" dxfId="422" priority="10085" operator="equal">
      <formula>4</formula>
    </cfRule>
    <cfRule type="cellIs" dxfId="421" priority="10086" operator="equal">
      <formula>4</formula>
    </cfRule>
    <cfRule type="cellIs" dxfId="420" priority="10087" operator="equal">
      <formula>4</formula>
    </cfRule>
    <cfRule type="cellIs" dxfId="418" priority="10089" operator="equal">
      <formula>5</formula>
    </cfRule>
    <cfRule type="cellIs" dxfId="417" priority="10090" operator="equal">
      <formula>5</formula>
    </cfRule>
    <cfRule type="cellIs" dxfId="416" priority="10091" operator="equal">
      <formula>5</formula>
    </cfRule>
    <cfRule type="cellIs" dxfId="415" priority="10092" operator="equal">
      <formula>5</formula>
    </cfRule>
    <cfRule type="cellIs" dxfId="414" priority="10093" operator="equal">
      <formula>5</formula>
    </cfRule>
    <cfRule type="cellIs" dxfId="413" priority="10094" operator="equal">
      <formula>5</formula>
    </cfRule>
  </conditionalFormatting>
  <conditionalFormatting sqref="L13:N20">
    <cfRule type="cellIs" dxfId="645" priority="3758" operator="equal">
      <formula>1</formula>
    </cfRule>
    <cfRule type="cellIs" dxfId="636" priority="3759" operator="equal">
      <formula>"Special"</formula>
    </cfRule>
    <cfRule type="cellIs" dxfId="627" priority="3760" operator="equal">
      <formula>2</formula>
    </cfRule>
    <cfRule type="cellIs" dxfId="618" priority="3761" operator="equal">
      <formula>3</formula>
    </cfRule>
    <cfRule type="cellIs" dxfId="609" priority="3762" operator="equal">
      <formula>4</formula>
    </cfRule>
    <cfRule type="cellIs" dxfId="600" priority="3763" operator="equal">
      <formula>5</formula>
    </cfRule>
    <cfRule type="cellIs" dxfId="507" priority="3764" operator="equal">
      <formula>1</formula>
    </cfRule>
    <cfRule type="cellIs" dxfId="498" priority="3765" operator="equal">
      <formula>"Special"</formula>
    </cfRule>
    <cfRule type="cellIs" dxfId="489" priority="3766" operator="equal">
      <formula>2</formula>
    </cfRule>
    <cfRule type="cellIs" dxfId="480" priority="3767" operator="equal">
      <formula>3</formula>
    </cfRule>
    <cfRule type="cellIs" dxfId="471" priority="3768" operator="equal">
      <formula>4</formula>
    </cfRule>
    <cfRule type="cellIs" dxfId="462" priority="3769" operator="equal">
      <formula>5</formula>
    </cfRule>
  </conditionalFormatting>
  <conditionalFormatting sqref="L13:N20">
    <cfRule type="cellIs" dxfId="646" priority="3749" operator="equal">
      <formula>"S"</formula>
    </cfRule>
  </conditionalFormatting>
  <conditionalFormatting sqref="L13:N20">
    <cfRule type="cellIs" dxfId="645" priority="3257" operator="equal">
      <formula>1</formula>
    </cfRule>
    <cfRule type="cellIs" dxfId="636" priority="3258" operator="equal">
      <formula>"Special"</formula>
    </cfRule>
    <cfRule type="cellIs" dxfId="627" priority="3259" operator="equal">
      <formula>2</formula>
    </cfRule>
    <cfRule type="cellIs" dxfId="618" priority="3260" operator="equal">
      <formula>3</formula>
    </cfRule>
    <cfRule type="cellIs" dxfId="609" priority="3261" operator="equal">
      <formula>4</formula>
    </cfRule>
    <cfRule type="cellIs" dxfId="600" priority="3262" operator="equal">
      <formula>5</formula>
    </cfRule>
    <cfRule type="cellIs" dxfId="507" priority="3263" operator="equal">
      <formula>1</formula>
    </cfRule>
    <cfRule type="cellIs" dxfId="498" priority="3264" operator="equal">
      <formula>"Special"</formula>
    </cfRule>
    <cfRule type="cellIs" dxfId="489" priority="3265" operator="equal">
      <formula>2</formula>
    </cfRule>
    <cfRule type="cellIs" dxfId="480" priority="3266" operator="equal">
      <formula>3</formula>
    </cfRule>
    <cfRule type="cellIs" dxfId="471" priority="3267" operator="equal">
      <formula>4</formula>
    </cfRule>
    <cfRule type="cellIs" dxfId="462" priority="3268" operator="equal">
      <formula>5</formula>
    </cfRule>
  </conditionalFormatting>
  <conditionalFormatting sqref="L13:N20">
    <cfRule type="cellIs" dxfId="646" priority="3248" operator="equal">
      <formula>"S"</formula>
    </cfRule>
  </conditionalFormatting>
  <conditionalFormatting sqref="L13:N20">
    <cfRule type="cellIs" dxfId="645" priority="2756" operator="equal">
      <formula>1</formula>
    </cfRule>
    <cfRule type="cellIs" dxfId="636" priority="2757" operator="equal">
      <formula>"Special"</formula>
    </cfRule>
    <cfRule type="cellIs" dxfId="627" priority="2758" operator="equal">
      <formula>2</formula>
    </cfRule>
    <cfRule type="cellIs" dxfId="618" priority="2759" operator="equal">
      <formula>3</formula>
    </cfRule>
    <cfRule type="cellIs" dxfId="609" priority="2760" operator="equal">
      <formula>4</formula>
    </cfRule>
    <cfRule type="cellIs" dxfId="600" priority="2761" operator="equal">
      <formula>5</formula>
    </cfRule>
    <cfRule type="cellIs" dxfId="507" priority="2762" operator="equal">
      <formula>1</formula>
    </cfRule>
    <cfRule type="cellIs" dxfId="498" priority="2763" operator="equal">
      <formula>"Special"</formula>
    </cfRule>
    <cfRule type="cellIs" dxfId="489" priority="2764" operator="equal">
      <formula>2</formula>
    </cfRule>
    <cfRule type="cellIs" dxfId="480" priority="2765" operator="equal">
      <formula>3</formula>
    </cfRule>
    <cfRule type="cellIs" dxfId="471" priority="2766" operator="equal">
      <formula>4</formula>
    </cfRule>
    <cfRule type="cellIs" dxfId="462" priority="2767" operator="equal">
      <formula>5</formula>
    </cfRule>
  </conditionalFormatting>
  <conditionalFormatting sqref="L13:N20">
    <cfRule type="cellIs" dxfId="646" priority="2747" operator="equal">
      <formula>"S"</formula>
    </cfRule>
  </conditionalFormatting>
  <conditionalFormatting sqref="L13:N20">
    <cfRule type="cellIs" dxfId="645" priority="2255" operator="equal">
      <formula>1</formula>
    </cfRule>
    <cfRule type="cellIs" dxfId="636" priority="2256" operator="equal">
      <formula>"Special"</formula>
    </cfRule>
    <cfRule type="cellIs" dxfId="627" priority="2257" operator="equal">
      <formula>2</formula>
    </cfRule>
    <cfRule type="cellIs" dxfId="618" priority="2258" operator="equal">
      <formula>3</formula>
    </cfRule>
    <cfRule type="cellIs" dxfId="609" priority="2259" operator="equal">
      <formula>4</formula>
    </cfRule>
    <cfRule type="cellIs" dxfId="600" priority="2260" operator="equal">
      <formula>5</formula>
    </cfRule>
    <cfRule type="cellIs" dxfId="507" priority="2261" operator="equal">
      <formula>1</formula>
    </cfRule>
    <cfRule type="cellIs" dxfId="498" priority="2262" operator="equal">
      <formula>"Special"</formula>
    </cfRule>
    <cfRule type="cellIs" dxfId="489" priority="2263" operator="equal">
      <formula>2</formula>
    </cfRule>
    <cfRule type="cellIs" dxfId="480" priority="2264" operator="equal">
      <formula>3</formula>
    </cfRule>
    <cfRule type="cellIs" dxfId="471" priority="2265" operator="equal">
      <formula>4</formula>
    </cfRule>
    <cfRule type="cellIs" dxfId="462" priority="2266" operator="equal">
      <formula>5</formula>
    </cfRule>
  </conditionalFormatting>
  <conditionalFormatting sqref="L13:N20">
    <cfRule type="cellIs" dxfId="646" priority="2246" operator="equal">
      <formula>"S"</formula>
    </cfRule>
  </conditionalFormatting>
  <conditionalFormatting sqref="L13:N20">
    <cfRule type="cellIs" dxfId="645" priority="1754" operator="equal">
      <formula>1</formula>
    </cfRule>
    <cfRule type="cellIs" dxfId="636" priority="1755" operator="equal">
      <formula>"Special"</formula>
    </cfRule>
    <cfRule type="cellIs" dxfId="627" priority="1756" operator="equal">
      <formula>2</formula>
    </cfRule>
    <cfRule type="cellIs" dxfId="618" priority="1757" operator="equal">
      <formula>3</formula>
    </cfRule>
    <cfRule type="cellIs" dxfId="609" priority="1758" operator="equal">
      <formula>4</formula>
    </cfRule>
    <cfRule type="cellIs" dxfId="600" priority="1759" operator="equal">
      <formula>5</formula>
    </cfRule>
    <cfRule type="cellIs" dxfId="507" priority="1760" operator="equal">
      <formula>1</formula>
    </cfRule>
    <cfRule type="cellIs" dxfId="498" priority="1761" operator="equal">
      <formula>"Special"</formula>
    </cfRule>
    <cfRule type="cellIs" dxfId="489" priority="1762" operator="equal">
      <formula>2</formula>
    </cfRule>
    <cfRule type="cellIs" dxfId="480" priority="1763" operator="equal">
      <formula>3</formula>
    </cfRule>
    <cfRule type="cellIs" dxfId="471" priority="1764" operator="equal">
      <formula>4</formula>
    </cfRule>
    <cfRule type="cellIs" dxfId="462" priority="1765" operator="equal">
      <formula>5</formula>
    </cfRule>
  </conditionalFormatting>
  <conditionalFormatting sqref="L13:N20">
    <cfRule type="cellIs" dxfId="646" priority="1745" operator="equal">
      <formula>"S"</formula>
    </cfRule>
  </conditionalFormatting>
  <conditionalFormatting sqref="L13:N20">
    <cfRule type="cellIs" dxfId="645" priority="1253" operator="equal">
      <formula>1</formula>
    </cfRule>
    <cfRule type="cellIs" dxfId="636" priority="1254" operator="equal">
      <formula>"Special"</formula>
    </cfRule>
    <cfRule type="cellIs" dxfId="627" priority="1255" operator="equal">
      <formula>2</formula>
    </cfRule>
    <cfRule type="cellIs" dxfId="618" priority="1256" operator="equal">
      <formula>3</formula>
    </cfRule>
    <cfRule type="cellIs" dxfId="609" priority="1257" operator="equal">
      <formula>4</formula>
    </cfRule>
    <cfRule type="cellIs" dxfId="600" priority="1258" operator="equal">
      <formula>5</formula>
    </cfRule>
    <cfRule type="cellIs" dxfId="507" priority="1259" operator="equal">
      <formula>1</formula>
    </cfRule>
    <cfRule type="cellIs" dxfId="498" priority="1260" operator="equal">
      <formula>"Special"</formula>
    </cfRule>
    <cfRule type="cellIs" dxfId="489" priority="1261" operator="equal">
      <formula>2</formula>
    </cfRule>
    <cfRule type="cellIs" dxfId="480" priority="1262" operator="equal">
      <formula>3</formula>
    </cfRule>
    <cfRule type="cellIs" dxfId="471" priority="1263" operator="equal">
      <formula>4</formula>
    </cfRule>
    <cfRule type="cellIs" dxfId="462" priority="1264" operator="equal">
      <formula>5</formula>
    </cfRule>
  </conditionalFormatting>
  <conditionalFormatting sqref="L13:N20">
    <cfRule type="cellIs" dxfId="646" priority="1244" operator="equal">
      <formula>"S"</formula>
    </cfRule>
  </conditionalFormatting>
  <conditionalFormatting sqref="L13:N20">
    <cfRule type="cellIs" dxfId="645" priority="752" operator="equal">
      <formula>1</formula>
    </cfRule>
    <cfRule type="cellIs" dxfId="636" priority="753" operator="equal">
      <formula>"Special"</formula>
    </cfRule>
    <cfRule type="cellIs" dxfId="627" priority="754" operator="equal">
      <formula>2</formula>
    </cfRule>
    <cfRule type="cellIs" dxfId="618" priority="755" operator="equal">
      <formula>3</formula>
    </cfRule>
    <cfRule type="cellIs" dxfId="609" priority="756" operator="equal">
      <formula>4</formula>
    </cfRule>
    <cfRule type="cellIs" dxfId="600" priority="757" operator="equal">
      <formula>5</formula>
    </cfRule>
    <cfRule type="cellIs" dxfId="507" priority="758" operator="equal">
      <formula>1</formula>
    </cfRule>
    <cfRule type="cellIs" dxfId="498" priority="759" operator="equal">
      <formula>"Special"</formula>
    </cfRule>
    <cfRule type="cellIs" dxfId="489" priority="760" operator="equal">
      <formula>2</formula>
    </cfRule>
    <cfRule type="cellIs" dxfId="480" priority="761" operator="equal">
      <formula>3</formula>
    </cfRule>
    <cfRule type="cellIs" dxfId="471" priority="762" operator="equal">
      <formula>4</formula>
    </cfRule>
    <cfRule type="cellIs" dxfId="462" priority="763" operator="equal">
      <formula>5</formula>
    </cfRule>
  </conditionalFormatting>
  <conditionalFormatting sqref="L13:N20">
    <cfRule type="cellIs" dxfId="646" priority="743" operator="equal">
      <formula>"S"</formula>
    </cfRule>
  </conditionalFormatting>
  <conditionalFormatting sqref="L3:M3 L4:N10">
    <cfRule type="cellIs" dxfId="403" priority="140" operator="equal">
      <formula>1</formula>
    </cfRule>
    <cfRule type="cellIs" dxfId="402" priority="141" operator="equal">
      <formula>"Special"</formula>
    </cfRule>
    <cfRule type="cellIs" dxfId="401" priority="142" operator="equal">
      <formula>2</formula>
    </cfRule>
    <cfRule type="cellIs" dxfId="400" priority="143" operator="equal">
      <formula>3</formula>
    </cfRule>
    <cfRule type="cellIs" dxfId="399" priority="144" operator="equal">
      <formula>4</formula>
    </cfRule>
    <cfRule type="cellIs" dxfId="398" priority="145" operator="equal">
      <formula>5</formula>
    </cfRule>
    <cfRule type="cellIs" dxfId="397" priority="146" operator="equal">
      <formula>1</formula>
    </cfRule>
    <cfRule type="cellIs" dxfId="396" priority="147" operator="equal">
      <formula>"Special"</formula>
    </cfRule>
    <cfRule type="cellIs" dxfId="395" priority="148" operator="equal">
      <formula>2</formula>
    </cfRule>
    <cfRule type="cellIs" dxfId="394" priority="149" operator="equal">
      <formula>3</formula>
    </cfRule>
    <cfRule type="cellIs" dxfId="393" priority="150" operator="equal">
      <formula>4</formula>
    </cfRule>
    <cfRule type="cellIs" dxfId="392" priority="151" operator="equal">
      <formula>5</formula>
    </cfRule>
    <cfRule type="cellIs" dxfId="385" priority="152" operator="equal">
      <formula>1</formula>
    </cfRule>
    <cfRule type="cellIs" dxfId="384" priority="153" operator="equal">
      <formula>"Special"</formula>
    </cfRule>
    <cfRule type="cellIs" dxfId="383" priority="154" operator="equal">
      <formula>2</formula>
    </cfRule>
    <cfRule type="cellIs" dxfId="382" priority="155" operator="equal">
      <formula>3</formula>
    </cfRule>
    <cfRule type="cellIs" dxfId="381" priority="156" operator="equal">
      <formula>4</formula>
    </cfRule>
    <cfRule type="cellIs" dxfId="380" priority="157" operator="equal">
      <formula>5</formula>
    </cfRule>
  </conditionalFormatting>
  <conditionalFormatting sqref="L3:N10">
    <cfRule type="cellIs" dxfId="411" priority="131" operator="equal">
      <formula>"S"</formula>
    </cfRule>
  </conditionalFormatting>
  <conditionalFormatting sqref="L13:M13 L14:N20">
    <cfRule type="cellIs" dxfId="409" priority="8" operator="equal">
      <formula>1</formula>
    </cfRule>
    <cfRule type="cellIs" dxfId="408" priority="9" operator="equal">
      <formula>"Special"</formula>
    </cfRule>
    <cfRule type="cellIs" dxfId="407" priority="10" operator="equal">
      <formula>2</formula>
    </cfRule>
    <cfRule type="cellIs" dxfId="406" priority="11" operator="equal">
      <formula>3</formula>
    </cfRule>
    <cfRule type="cellIs" dxfId="405" priority="12" operator="equal">
      <formula>4</formula>
    </cfRule>
    <cfRule type="cellIs" dxfId="404" priority="13" operator="equal">
      <formula>5</formula>
    </cfRule>
    <cfRule type="cellIs" dxfId="391" priority="14" operator="equal">
      <formula>1</formula>
    </cfRule>
    <cfRule type="cellIs" dxfId="390" priority="15" operator="equal">
      <formula>"Special"</formula>
    </cfRule>
    <cfRule type="cellIs" dxfId="389" priority="16" operator="equal">
      <formula>2</formula>
    </cfRule>
    <cfRule type="cellIs" dxfId="388" priority="17" operator="equal">
      <formula>3</formula>
    </cfRule>
    <cfRule type="cellIs" dxfId="387" priority="18" operator="equal">
      <formula>4</formula>
    </cfRule>
    <cfRule type="cellIs" dxfId="386" priority="19" operator="equal">
      <formula>5</formula>
    </cfRule>
  </conditionalFormatting>
  <conditionalFormatting sqref="L13:M13 L14:N20">
    <cfRule type="cellIs" dxfId="410" priority="1" operator="equal">
      <formula>"S"</formula>
    </cfRule>
  </conditionalFormatting>
  <pageMargins left="0.70" right="0.70" top="0.75" bottom="0.75" header="0.30" footer="0.30"/>
  <pageSetup paperSize="9" orientation="portrait"/>
  <legacyDrawing r:id="rId1"/>
</worksheet>
</file>

<file path=xl/worksheets/sheet2.xml><?xml version="1.0" encoding="utf-8"?>
<worksheet xmlns="http://schemas.openxmlformats.org/spreadsheetml/2006/main" xmlns:r="http://schemas.openxmlformats.org/officeDocument/2006/relationships">
  <dimension ref="A1:F345"/>
  <sheetViews>
    <sheetView zoomScale="60" workbookViewId="0">
      <pane ySplit="1" topLeftCell="A60" activePane="bottomLeft" state="frozen"/>
      <selection pane="bottomLeft" activeCell="D80" sqref="D80"/>
    </sheetView>
  </sheetViews>
  <sheetFormatPr defaultRowHeight="16.500000"/>
  <cols>
    <col min="1" max="1" style="1" width="9.00500011" customWidth="1" outlineLevel="0"/>
    <col min="2" max="2" style="19" width="23.87999916" customWidth="1" outlineLevel="0"/>
    <col min="3" max="3" style="1" width="21.37999916" customWidth="1" outlineLevel="0"/>
    <col min="4" max="4" style="22" width="61.88000107" customWidth="1" outlineLevel="0"/>
    <col min="5" max="5" style="836" width="18.50499916" customWidth="1" outlineLevel="0"/>
    <col min="6" max="6" style="19" width="18.50499916" customWidth="1" outlineLevel="0"/>
  </cols>
  <sheetData>
    <row r="1" spans="1:6" ht="33.000000">
      <c r="A1" s="2" t="s">
        <v>84</v>
      </c>
      <c r="B1" s="23" t="s">
        <v>891</v>
      </c>
      <c r="C1" s="23" t="s">
        <v>4315</v>
      </c>
      <c r="D1" s="23" t="s">
        <v>126</v>
      </c>
      <c r="E1" s="2" t="s">
        <v>4193</v>
      </c>
      <c r="F1" s="2" t="s">
        <v>4194</v>
      </c>
    </row>
    <row r="2" spans="1:6" ht="33.000000">
      <c r="A2" s="4">
        <v>1</v>
      </c>
      <c r="B2" s="29" t="s">
        <v>4179</v>
      </c>
      <c r="C2" s="29" t="s">
        <v>4179</v>
      </c>
      <c r="D2" s="30" t="s">
        <v>4312</v>
      </c>
      <c r="E2" s="922" t="s">
        <v>2787</v>
      </c>
      <c r="F2" s="28">
        <v>6.22</v>
      </c>
    </row>
    <row r="3" spans="1:6" ht="49.500000">
      <c r="A3" s="4">
        <v>2</v>
      </c>
      <c r="B3" s="935" t="s">
        <v>4180</v>
      </c>
      <c r="C3" s="935" t="s">
        <v>544</v>
      </c>
      <c r="D3" s="30" t="s">
        <v>545</v>
      </c>
      <c r="E3" s="922" t="s">
        <v>2787</v>
      </c>
      <c r="F3" s="28">
        <v>5.85</v>
      </c>
    </row>
    <row r="4" spans="1:6" ht="33.000000">
      <c r="A4" s="4">
        <v>3</v>
      </c>
      <c r="B4" s="936" t="s">
        <v>73</v>
      </c>
      <c r="C4" s="935" t="s">
        <v>379</v>
      </c>
      <c r="D4" s="30" t="s">
        <v>380</v>
      </c>
      <c r="E4" s="922" t="s">
        <v>2787</v>
      </c>
      <c r="F4" s="28">
        <v>5.61</v>
      </c>
    </row>
    <row r="5" spans="1:6" ht="49.500000">
      <c r="A5" s="4">
        <v>4</v>
      </c>
      <c r="B5" s="760" t="s">
        <v>568</v>
      </c>
      <c r="C5" s="760" t="s">
        <v>568</v>
      </c>
      <c r="D5" s="30" t="s">
        <v>1006</v>
      </c>
      <c r="E5" s="922" t="s">
        <v>2787</v>
      </c>
      <c r="F5" s="28">
        <v>5.42</v>
      </c>
    </row>
    <row r="6" spans="1:6" ht="33.000000">
      <c r="A6" s="4">
        <v>5</v>
      </c>
      <c r="B6" s="760" t="s">
        <v>597</v>
      </c>
      <c r="C6" s="760" t="s">
        <v>597</v>
      </c>
      <c r="D6" s="30" t="s">
        <v>3204</v>
      </c>
      <c r="E6" s="922" t="s">
        <v>2787</v>
      </c>
      <c r="F6" s="28">
        <v>5.4</v>
      </c>
    </row>
    <row r="7" spans="1:6" ht="17.250000">
      <c r="A7" s="4">
        <v>6</v>
      </c>
      <c r="B7" s="760" t="s">
        <v>9</v>
      </c>
      <c r="C7" s="760" t="s">
        <v>9</v>
      </c>
      <c r="D7" s="30" t="s">
        <v>908</v>
      </c>
      <c r="E7" s="922" t="s">
        <v>2787</v>
      </c>
      <c r="F7" s="28">
        <v>5.35</v>
      </c>
    </row>
    <row r="8" spans="1:6" ht="33.000000">
      <c r="A8" s="4">
        <v>7</v>
      </c>
      <c r="B8" s="29" t="s">
        <v>4181</v>
      </c>
      <c r="C8" s="29" t="s">
        <v>4181</v>
      </c>
      <c r="D8" s="30" t="s">
        <v>4302</v>
      </c>
      <c r="E8" s="922" t="s">
        <v>2787</v>
      </c>
      <c r="F8" s="28">
        <v>5.32</v>
      </c>
    </row>
    <row r="9" spans="1:6" ht="49.500000" customHeight="1">
      <c r="A9" s="4">
        <v>8</v>
      </c>
      <c r="B9" s="760" t="s">
        <v>748</v>
      </c>
      <c r="C9" s="760" t="s">
        <v>748</v>
      </c>
      <c r="D9" s="30" t="s">
        <v>4332</v>
      </c>
      <c r="E9" s="922" t="s">
        <v>2787</v>
      </c>
      <c r="F9" s="28">
        <v>5.18</v>
      </c>
    </row>
    <row r="10" spans="1:6" ht="33.000000" customHeight="1">
      <c r="A10" s="4">
        <v>9</v>
      </c>
      <c r="B10" s="937" t="s">
        <v>3142</v>
      </c>
      <c r="C10" s="935" t="s">
        <v>324</v>
      </c>
      <c r="D10" s="30" t="s">
        <v>325</v>
      </c>
      <c r="E10" s="922" t="s">
        <v>2787</v>
      </c>
      <c r="F10" s="28">
        <v>5.08</v>
      </c>
    </row>
    <row r="11" spans="1:6" ht="17.250000">
      <c r="A11" s="4">
        <v>10</v>
      </c>
      <c r="B11" s="760" t="s">
        <v>123</v>
      </c>
      <c r="C11" s="760" t="s">
        <v>123</v>
      </c>
      <c r="D11" s="30" t="s">
        <v>128</v>
      </c>
      <c r="E11" s="922" t="s">
        <v>2787</v>
      </c>
      <c r="F11" s="28">
        <v>4.99</v>
      </c>
    </row>
    <row r="12" spans="1:6" ht="49.500000">
      <c r="A12" s="4">
        <v>11</v>
      </c>
      <c r="B12" s="760" t="s">
        <v>743</v>
      </c>
      <c r="C12" s="760" t="s">
        <v>743</v>
      </c>
      <c r="D12" s="30" t="s">
        <v>4333</v>
      </c>
      <c r="E12" s="923">
        <v>1</v>
      </c>
      <c r="F12" s="28">
        <v>4.95</v>
      </c>
    </row>
    <row r="13" spans="1:6" ht="17.250000">
      <c r="A13" s="4">
        <v>12</v>
      </c>
      <c r="B13" s="760" t="s">
        <v>615</v>
      </c>
      <c r="C13" s="760" t="s">
        <v>615</v>
      </c>
      <c r="D13" s="30" t="s">
        <v>996</v>
      </c>
      <c r="E13" s="923">
        <v>1</v>
      </c>
      <c r="F13" s="28">
        <v>4.93</v>
      </c>
    </row>
    <row r="14" spans="1:6" ht="33.000000">
      <c r="A14" s="4">
        <v>13</v>
      </c>
      <c r="B14" s="760" t="s">
        <v>338</v>
      </c>
      <c r="C14" s="760" t="s">
        <v>338</v>
      </c>
      <c r="D14" s="30" t="s">
        <v>347</v>
      </c>
      <c r="E14" s="923">
        <v>1</v>
      </c>
      <c r="F14" s="28">
        <v>4.91</v>
      </c>
    </row>
    <row r="15" spans="1:6" ht="49.500000">
      <c r="A15" s="4">
        <v>14</v>
      </c>
      <c r="B15" s="760" t="s">
        <v>41</v>
      </c>
      <c r="C15" s="760" t="s">
        <v>41</v>
      </c>
      <c r="D15" s="30" t="s">
        <v>210</v>
      </c>
      <c r="E15" s="923">
        <v>1</v>
      </c>
      <c r="F15" s="28">
        <v>4.78</v>
      </c>
    </row>
    <row r="16" spans="1:6" ht="45.750000" customHeight="1">
      <c r="A16" s="4">
        <v>15</v>
      </c>
      <c r="B16" s="760" t="s">
        <v>395</v>
      </c>
      <c r="C16" s="760" t="s">
        <v>395</v>
      </c>
      <c r="D16" s="30" t="s">
        <v>904</v>
      </c>
      <c r="E16" s="923">
        <v>1</v>
      </c>
      <c r="F16" s="28">
        <v>4.71</v>
      </c>
    </row>
    <row r="17" spans="1:6" ht="33.000000">
      <c r="A17" s="4">
        <v>16</v>
      </c>
      <c r="B17" s="936" t="s">
        <v>13</v>
      </c>
      <c r="C17" s="935" t="s">
        <v>316</v>
      </c>
      <c r="D17" s="30" t="s">
        <v>317</v>
      </c>
      <c r="E17" s="923">
        <v>1</v>
      </c>
      <c r="F17" s="28">
        <v>4.7</v>
      </c>
    </row>
    <row r="18" spans="1:6" ht="49.500000">
      <c r="A18" s="4">
        <v>17</v>
      </c>
      <c r="B18" s="760" t="s">
        <v>259</v>
      </c>
      <c r="C18" s="760" t="s">
        <v>259</v>
      </c>
      <c r="D18" s="30" t="s">
        <v>994</v>
      </c>
      <c r="E18" s="923">
        <v>1</v>
      </c>
      <c r="F18" s="28">
        <v>4.67</v>
      </c>
    </row>
    <row r="19" spans="1:6" ht="49.500000">
      <c r="A19" s="4">
        <v>18</v>
      </c>
      <c r="B19" s="937" t="s">
        <v>903</v>
      </c>
      <c r="C19" s="935" t="s">
        <v>663</v>
      </c>
      <c r="D19" s="30" t="s">
        <v>664</v>
      </c>
      <c r="E19" s="923">
        <v>1</v>
      </c>
      <c r="F19" s="28">
        <v>4.62</v>
      </c>
    </row>
    <row r="20" spans="1:6" ht="33.000000">
      <c r="A20" s="4">
        <v>19</v>
      </c>
      <c r="B20" s="760" t="s">
        <v>213</v>
      </c>
      <c r="C20" s="760" t="s">
        <v>213</v>
      </c>
      <c r="D20" s="30" t="s">
        <v>215</v>
      </c>
      <c r="E20" s="923">
        <v>1</v>
      </c>
      <c r="F20" s="28">
        <v>4.59</v>
      </c>
    </row>
    <row r="21" spans="1:6" ht="33.000000">
      <c r="A21" s="4">
        <v>20</v>
      </c>
      <c r="B21" s="970" t="s">
        <v>915</v>
      </c>
      <c r="C21" s="971" t="s">
        <v>4476</v>
      </c>
      <c r="D21" s="30" t="s">
        <v>4477</v>
      </c>
      <c r="E21" s="923">
        <v>1</v>
      </c>
      <c r="F21" s="28">
        <v>4.58</v>
      </c>
    </row>
    <row r="22" spans="1:6" ht="49.500000">
      <c r="A22" s="4">
        <v>21</v>
      </c>
      <c r="B22" s="760" t="s">
        <v>510</v>
      </c>
      <c r="C22" s="760" t="s">
        <v>510</v>
      </c>
      <c r="D22" s="30" t="s">
        <v>660</v>
      </c>
      <c r="E22" s="923">
        <v>1</v>
      </c>
      <c r="F22" s="28">
        <v>4.58</v>
      </c>
    </row>
    <row r="23" spans="1:6" ht="33.000000">
      <c r="A23" s="4">
        <v>22</v>
      </c>
      <c r="B23" s="760" t="s">
        <v>138</v>
      </c>
      <c r="C23" s="760" t="s">
        <v>138</v>
      </c>
      <c r="D23" s="30" t="s">
        <v>149</v>
      </c>
      <c r="E23" s="923">
        <v>1</v>
      </c>
      <c r="F23" s="28">
        <v>4.49</v>
      </c>
    </row>
    <row r="24" spans="1:6" ht="33.000000">
      <c r="A24" s="4">
        <v>23</v>
      </c>
      <c r="B24" s="760" t="s">
        <v>71</v>
      </c>
      <c r="C24" s="760" t="s">
        <v>71</v>
      </c>
      <c r="D24" s="30" t="s">
        <v>984</v>
      </c>
      <c r="E24" s="923">
        <v>1</v>
      </c>
      <c r="F24" s="28">
        <v>4.43</v>
      </c>
    </row>
    <row r="25" spans="1:6" ht="33.000000">
      <c r="A25" s="4">
        <v>24</v>
      </c>
      <c r="B25" s="760" t="s">
        <v>613</v>
      </c>
      <c r="C25" s="760" t="s">
        <v>613</v>
      </c>
      <c r="D25" s="30" t="s">
        <v>614</v>
      </c>
      <c r="E25" s="923">
        <v>1</v>
      </c>
      <c r="F25" s="28">
        <v>4.42</v>
      </c>
    </row>
    <row r="26" spans="1:6" ht="33.000000">
      <c r="A26" s="4">
        <v>25</v>
      </c>
      <c r="B26" s="760" t="s">
        <v>66</v>
      </c>
      <c r="C26" s="760" t="s">
        <v>66</v>
      </c>
      <c r="D26" s="30" t="s">
        <v>438</v>
      </c>
      <c r="E26" s="923">
        <v>1</v>
      </c>
      <c r="F26" s="28">
        <v>4.38</v>
      </c>
    </row>
    <row r="27" spans="1:6" ht="49.500000">
      <c r="A27" s="4">
        <v>26</v>
      </c>
      <c r="B27" s="760" t="s">
        <v>4289</v>
      </c>
      <c r="C27" s="760" t="s">
        <v>65</v>
      </c>
      <c r="D27" s="30" t="s">
        <v>286</v>
      </c>
      <c r="E27" s="923">
        <v>1</v>
      </c>
      <c r="F27" s="28">
        <v>4.37</v>
      </c>
    </row>
    <row r="28" spans="1:6" ht="49.500000">
      <c r="A28" s="4">
        <v>27</v>
      </c>
      <c r="B28" s="935" t="s">
        <v>566</v>
      </c>
      <c r="C28" s="594" t="s">
        <v>805</v>
      </c>
      <c r="D28" s="30" t="s">
        <v>812</v>
      </c>
      <c r="E28" s="924">
        <v>2</v>
      </c>
      <c r="F28" s="28">
        <v>4.35</v>
      </c>
    </row>
    <row r="29" spans="1:6" ht="33.000000">
      <c r="A29" s="4">
        <v>28</v>
      </c>
      <c r="B29" s="760" t="s">
        <v>131</v>
      </c>
      <c r="C29" s="760" t="s">
        <v>131</v>
      </c>
      <c r="D29" s="30" t="s">
        <v>132</v>
      </c>
      <c r="E29" s="924">
        <v>2</v>
      </c>
      <c r="F29" s="28">
        <v>4.34</v>
      </c>
    </row>
    <row r="30" spans="1:6" ht="49.500000">
      <c r="A30" s="4">
        <v>29</v>
      </c>
      <c r="B30" s="937" t="s">
        <v>2672</v>
      </c>
      <c r="C30" s="935" t="s">
        <v>841</v>
      </c>
      <c r="D30" s="30" t="s">
        <v>842</v>
      </c>
      <c r="E30" s="924">
        <v>2</v>
      </c>
      <c r="F30" s="28">
        <v>4.29</v>
      </c>
    </row>
    <row r="31" spans="1:6" ht="33.000000">
      <c r="A31" s="4">
        <v>30</v>
      </c>
      <c r="B31" s="760" t="s">
        <v>589</v>
      </c>
      <c r="C31" s="760" t="s">
        <v>589</v>
      </c>
      <c r="D31" s="30" t="s">
        <v>910</v>
      </c>
      <c r="E31" s="924">
        <v>2</v>
      </c>
      <c r="F31" s="28">
        <v>4.28</v>
      </c>
    </row>
    <row r="32" spans="1:6" ht="33.000000">
      <c r="A32" s="4">
        <v>31</v>
      </c>
      <c r="B32" s="760" t="s">
        <v>269</v>
      </c>
      <c r="C32" s="760" t="s">
        <v>269</v>
      </c>
      <c r="D32" s="30" t="s">
        <v>725</v>
      </c>
      <c r="E32" s="924">
        <v>2</v>
      </c>
      <c r="F32" s="28">
        <v>4.25</v>
      </c>
    </row>
    <row r="33" spans="1:6" ht="33.000000">
      <c r="A33" s="4">
        <v>32</v>
      </c>
      <c r="B33" s="760" t="s">
        <v>310</v>
      </c>
      <c r="C33" s="760" t="s">
        <v>310</v>
      </c>
      <c r="D33" s="30" t="s">
        <v>311</v>
      </c>
      <c r="E33" s="924">
        <v>2</v>
      </c>
      <c r="F33" s="28">
        <v>4.24</v>
      </c>
    </row>
    <row r="34" spans="1:6" ht="33.000000">
      <c r="A34" s="4">
        <v>33</v>
      </c>
      <c r="B34" s="760" t="s">
        <v>171</v>
      </c>
      <c r="C34" s="760" t="s">
        <v>171</v>
      </c>
      <c r="D34" s="30" t="s">
        <v>289</v>
      </c>
      <c r="E34" s="924">
        <v>2</v>
      </c>
      <c r="F34" s="28">
        <v>4.21</v>
      </c>
    </row>
    <row r="35" spans="1:6" ht="49.500000">
      <c r="A35" s="4">
        <v>34</v>
      </c>
      <c r="B35" s="760" t="s">
        <v>586</v>
      </c>
      <c r="C35" s="760" t="s">
        <v>586</v>
      </c>
      <c r="D35" s="30" t="s">
        <v>849</v>
      </c>
      <c r="E35" s="924">
        <v>2</v>
      </c>
      <c r="F35" s="28">
        <v>4.19</v>
      </c>
    </row>
    <row r="36" spans="1:6" ht="49.500000">
      <c r="A36" s="4">
        <v>35</v>
      </c>
      <c r="B36" s="760" t="s">
        <v>160</v>
      </c>
      <c r="C36" s="760" t="s">
        <v>160</v>
      </c>
      <c r="D36" s="30" t="s">
        <v>161</v>
      </c>
      <c r="E36" s="924">
        <v>2</v>
      </c>
      <c r="F36" s="28">
        <v>4.18</v>
      </c>
    </row>
    <row r="37" spans="1:6" ht="49.500000">
      <c r="A37" s="4">
        <v>36</v>
      </c>
      <c r="B37" s="760" t="s">
        <v>439</v>
      </c>
      <c r="C37" s="760" t="s">
        <v>439</v>
      </c>
      <c r="D37" s="30" t="s">
        <v>440</v>
      </c>
      <c r="E37" s="924">
        <v>2</v>
      </c>
      <c r="F37" s="28">
        <v>4.14</v>
      </c>
    </row>
    <row r="38" spans="1:6" ht="33.000000">
      <c r="A38" s="4">
        <v>37</v>
      </c>
      <c r="B38" s="760" t="s">
        <v>333</v>
      </c>
      <c r="C38" s="760" t="s">
        <v>333</v>
      </c>
      <c r="D38" s="30" t="s">
        <v>944</v>
      </c>
      <c r="E38" s="924">
        <v>2</v>
      </c>
      <c r="F38" s="28">
        <v>4.12</v>
      </c>
    </row>
    <row r="39" spans="1:6" ht="33.000000">
      <c r="A39" s="4">
        <v>38</v>
      </c>
      <c r="B39" s="970" t="s">
        <v>2759</v>
      </c>
      <c r="C39" s="971" t="s">
        <v>4462</v>
      </c>
      <c r="D39" s="30" t="s">
        <v>4465</v>
      </c>
      <c r="E39" s="924">
        <v>2</v>
      </c>
      <c r="F39" s="28">
        <v>4.12</v>
      </c>
    </row>
    <row r="40" spans="1:6" ht="33.000000">
      <c r="A40" s="4">
        <v>39</v>
      </c>
      <c r="B40" s="760" t="s">
        <v>2498</v>
      </c>
      <c r="C40" s="760" t="s">
        <v>2498</v>
      </c>
      <c r="D40" s="30" t="s">
        <v>2499</v>
      </c>
      <c r="E40" s="924">
        <v>2</v>
      </c>
      <c r="F40" s="28">
        <v>4.11</v>
      </c>
    </row>
    <row r="41" spans="1:6" ht="66.000000">
      <c r="A41" s="4">
        <v>40</v>
      </c>
      <c r="B41" s="760" t="s">
        <v>703</v>
      </c>
      <c r="C41" s="760" t="s">
        <v>703</v>
      </c>
      <c r="D41" s="30" t="s">
        <v>704</v>
      </c>
      <c r="E41" s="924">
        <v>2</v>
      </c>
      <c r="F41" s="28">
        <v>4.08</v>
      </c>
    </row>
    <row r="42" spans="1:6" ht="33.000000">
      <c r="A42" s="4">
        <v>41</v>
      </c>
      <c r="B42" s="760" t="s">
        <v>717</v>
      </c>
      <c r="C42" s="760" t="s">
        <v>717</v>
      </c>
      <c r="D42" s="30" t="s">
        <v>718</v>
      </c>
      <c r="E42" s="924">
        <v>2</v>
      </c>
      <c r="F42" s="28">
        <v>4</v>
      </c>
    </row>
    <row r="43" spans="1:6" ht="49.500000">
      <c r="A43" s="4">
        <v>42</v>
      </c>
      <c r="B43" s="760" t="s">
        <v>708</v>
      </c>
      <c r="C43" s="760" t="s">
        <v>708</v>
      </c>
      <c r="D43" s="30" t="s">
        <v>709</v>
      </c>
      <c r="E43" s="924">
        <v>2</v>
      </c>
      <c r="F43" s="28">
        <v>3.98</v>
      </c>
    </row>
    <row r="44" spans="1:6" ht="33.000000">
      <c r="A44" s="4">
        <v>43</v>
      </c>
      <c r="B44" s="760" t="s">
        <v>588</v>
      </c>
      <c r="C44" s="760" t="s">
        <v>588</v>
      </c>
      <c r="D44" s="30" t="s">
        <v>909</v>
      </c>
      <c r="E44" s="924">
        <v>2</v>
      </c>
      <c r="F44" s="28">
        <v>3.98</v>
      </c>
    </row>
    <row r="45" spans="1:6" ht="49.500000">
      <c r="A45" s="4">
        <v>44</v>
      </c>
      <c r="B45" s="760" t="s">
        <v>205</v>
      </c>
      <c r="C45" s="760" t="s">
        <v>205</v>
      </c>
      <c r="D45" s="30" t="s">
        <v>206</v>
      </c>
      <c r="E45" s="924">
        <v>2</v>
      </c>
      <c r="F45" s="28">
        <v>3.97</v>
      </c>
    </row>
    <row r="46" spans="1:6" ht="33.000000">
      <c r="A46" s="4">
        <v>45</v>
      </c>
      <c r="B46" s="760" t="s">
        <v>262</v>
      </c>
      <c r="C46" s="760" t="s">
        <v>262</v>
      </c>
      <c r="D46" s="30" t="s">
        <v>288</v>
      </c>
      <c r="E46" s="924">
        <v>2</v>
      </c>
      <c r="F46" s="28">
        <v>3.96</v>
      </c>
    </row>
    <row r="47" spans="1:6" ht="49.500000">
      <c r="A47" s="4">
        <v>46</v>
      </c>
      <c r="B47" s="760" t="s">
        <v>247</v>
      </c>
      <c r="C47" s="760" t="s">
        <v>247</v>
      </c>
      <c r="D47" s="30" t="s">
        <v>248</v>
      </c>
      <c r="E47" s="924">
        <v>2</v>
      </c>
      <c r="F47" s="28">
        <v>3.94</v>
      </c>
    </row>
    <row r="48" spans="1:6" ht="49.500000">
      <c r="A48" s="4">
        <v>47</v>
      </c>
      <c r="B48" s="760" t="s">
        <v>832</v>
      </c>
      <c r="C48" s="760" t="s">
        <v>832</v>
      </c>
      <c r="D48" s="30" t="s">
        <v>978</v>
      </c>
      <c r="E48" s="924">
        <v>2</v>
      </c>
      <c r="F48" s="28">
        <v>3.94</v>
      </c>
    </row>
    <row r="49" spans="1:6" ht="49.500000">
      <c r="A49" s="4">
        <v>48</v>
      </c>
      <c r="B49" s="760" t="s">
        <v>237</v>
      </c>
      <c r="C49" s="760" t="s">
        <v>237</v>
      </c>
      <c r="D49" s="30" t="s">
        <v>238</v>
      </c>
      <c r="E49" s="924">
        <v>2</v>
      </c>
      <c r="F49" s="28">
        <v>3.94</v>
      </c>
    </row>
    <row r="50" spans="1:6" ht="33.000000">
      <c r="A50" s="4">
        <v>49</v>
      </c>
      <c r="B50" s="970" t="s">
        <v>44</v>
      </c>
      <c r="C50" s="971" t="s">
        <v>4473</v>
      </c>
      <c r="D50" s="30" t="s">
        <v>987</v>
      </c>
      <c r="E50" s="924">
        <v>2</v>
      </c>
      <c r="F50" s="28">
        <v>3.94</v>
      </c>
    </row>
    <row r="51" spans="1:6" ht="17.250000">
      <c r="A51" s="4">
        <v>50</v>
      </c>
      <c r="B51" s="760" t="s">
        <v>503</v>
      </c>
      <c r="C51" s="760" t="s">
        <v>503</v>
      </c>
      <c r="D51" s="30" t="s">
        <v>508</v>
      </c>
      <c r="E51" s="924">
        <v>2</v>
      </c>
      <c r="F51" s="28">
        <v>3.92</v>
      </c>
    </row>
    <row r="52" spans="1:6" ht="49.500000">
      <c r="A52" s="4">
        <v>51</v>
      </c>
      <c r="B52" s="937" t="s">
        <v>175</v>
      </c>
      <c r="C52" s="935" t="s">
        <v>308</v>
      </c>
      <c r="D52" s="30" t="s">
        <v>309</v>
      </c>
      <c r="E52" s="924">
        <v>2</v>
      </c>
      <c r="F52" s="28">
        <v>3.92</v>
      </c>
    </row>
    <row r="53" spans="1:6" ht="33.000000">
      <c r="A53" s="4">
        <v>52</v>
      </c>
      <c r="B53" s="760" t="s">
        <v>536</v>
      </c>
      <c r="C53" s="760" t="s">
        <v>536</v>
      </c>
      <c r="D53" s="30" t="s">
        <v>537</v>
      </c>
      <c r="E53" s="924">
        <v>2</v>
      </c>
      <c r="F53" s="28">
        <v>3.91</v>
      </c>
    </row>
    <row r="54" spans="1:6" ht="49.500000">
      <c r="A54" s="4">
        <v>53</v>
      </c>
      <c r="B54" s="760" t="s">
        <v>231</v>
      </c>
      <c r="C54" s="760" t="s">
        <v>231</v>
      </c>
      <c r="D54" s="30" t="s">
        <v>2673</v>
      </c>
      <c r="E54" s="924">
        <v>2</v>
      </c>
      <c r="F54" s="28">
        <v>3.91</v>
      </c>
    </row>
    <row r="55" spans="1:6" ht="49.500000">
      <c r="A55" s="4">
        <v>54</v>
      </c>
      <c r="B55" s="937" t="s">
        <v>3203</v>
      </c>
      <c r="C55" s="935" t="s">
        <v>373</v>
      </c>
      <c r="D55" s="30" t="s">
        <v>374</v>
      </c>
      <c r="E55" s="924">
        <v>2</v>
      </c>
      <c r="F55" s="28">
        <v>3.87</v>
      </c>
    </row>
    <row r="56" spans="1:6" ht="66.000000">
      <c r="A56" s="4">
        <v>55</v>
      </c>
      <c r="B56" s="760" t="s">
        <v>12</v>
      </c>
      <c r="C56" s="760" t="s">
        <v>12</v>
      </c>
      <c r="D56" s="30" t="s">
        <v>4334</v>
      </c>
      <c r="E56" s="924">
        <v>2</v>
      </c>
      <c r="F56" s="28">
        <v>3.87</v>
      </c>
    </row>
    <row r="57" spans="1:6" ht="33.000000">
      <c r="A57" s="4">
        <v>56</v>
      </c>
      <c r="B57" s="937" t="s">
        <v>479</v>
      </c>
      <c r="C57" s="935" t="s">
        <v>485</v>
      </c>
      <c r="D57" s="30" t="s">
        <v>486</v>
      </c>
      <c r="E57" s="924">
        <v>2</v>
      </c>
      <c r="F57" s="28">
        <v>3.83</v>
      </c>
    </row>
    <row r="58" spans="1:6" ht="33.000000">
      <c r="A58" s="4">
        <v>57</v>
      </c>
      <c r="B58" s="937" t="s">
        <v>49</v>
      </c>
      <c r="C58" s="935" t="s">
        <v>451</v>
      </c>
      <c r="D58" s="30" t="s">
        <v>452</v>
      </c>
      <c r="E58" s="924">
        <v>2</v>
      </c>
      <c r="F58" s="28">
        <v>3.8</v>
      </c>
    </row>
    <row r="59" spans="1:6" ht="66.000000">
      <c r="A59" s="4">
        <v>58</v>
      </c>
      <c r="B59" s="760" t="s">
        <v>734</v>
      </c>
      <c r="C59" s="760" t="s">
        <v>734</v>
      </c>
      <c r="D59" s="30" t="s">
        <v>4335</v>
      </c>
      <c r="E59" s="924">
        <v>2</v>
      </c>
      <c r="F59" s="28">
        <v>3.79</v>
      </c>
    </row>
    <row r="60" spans="1:6" ht="33.000000">
      <c r="A60" s="4">
        <v>59</v>
      </c>
      <c r="B60" s="760" t="s">
        <v>162</v>
      </c>
      <c r="C60" s="760" t="s">
        <v>162</v>
      </c>
      <c r="D60" s="30" t="s">
        <v>163</v>
      </c>
      <c r="E60" s="924">
        <v>2</v>
      </c>
      <c r="F60" s="28">
        <v>3.77</v>
      </c>
    </row>
    <row r="61" spans="1:6" ht="33.000000">
      <c r="A61" s="4">
        <v>60</v>
      </c>
      <c r="B61" s="760" t="s">
        <v>667</v>
      </c>
      <c r="C61" s="760" t="s">
        <v>667</v>
      </c>
      <c r="D61" s="30" t="s">
        <v>668</v>
      </c>
      <c r="E61" s="924">
        <v>2</v>
      </c>
      <c r="F61" s="28">
        <v>3.7</v>
      </c>
    </row>
    <row r="62" spans="1:6" ht="49.500000">
      <c r="A62" s="4">
        <v>61</v>
      </c>
      <c r="B62" s="760" t="s">
        <v>769</v>
      </c>
      <c r="C62" s="760" t="s">
        <v>769</v>
      </c>
      <c r="D62" s="30" t="s">
        <v>770</v>
      </c>
      <c r="E62" s="924">
        <v>2</v>
      </c>
      <c r="F62" s="28">
        <v>3.69</v>
      </c>
    </row>
    <row r="63" spans="1:6" ht="49.500000">
      <c r="A63" s="4">
        <v>62</v>
      </c>
      <c r="B63" s="760" t="s">
        <v>917</v>
      </c>
      <c r="C63" s="760" t="s">
        <v>917</v>
      </c>
      <c r="D63" s="30" t="s">
        <v>923</v>
      </c>
      <c r="E63" s="924">
        <v>2</v>
      </c>
      <c r="F63" s="28">
        <v>3.69</v>
      </c>
    </row>
    <row r="64" spans="1:6" ht="49.500000">
      <c r="A64" s="4">
        <v>63</v>
      </c>
      <c r="B64" s="760" t="s">
        <v>727</v>
      </c>
      <c r="C64" s="760" t="s">
        <v>727</v>
      </c>
      <c r="D64" s="30" t="s">
        <v>4336</v>
      </c>
      <c r="E64" s="924">
        <v>2</v>
      </c>
      <c r="F64" s="28">
        <v>3.68</v>
      </c>
    </row>
    <row r="65" spans="1:6" ht="33.000000">
      <c r="A65" s="4">
        <v>64</v>
      </c>
      <c r="B65" s="970" t="s">
        <v>478</v>
      </c>
      <c r="C65" s="975" t="s">
        <v>383</v>
      </c>
      <c r="D65" s="30" t="s">
        <v>384</v>
      </c>
      <c r="E65" s="924">
        <v>2</v>
      </c>
      <c r="F65" s="28">
        <v>3.67</v>
      </c>
    </row>
    <row r="66" spans="1:6" ht="33.000000">
      <c r="A66" s="4">
        <v>65</v>
      </c>
      <c r="B66" s="760" t="s">
        <v>688</v>
      </c>
      <c r="C66" s="760" t="s">
        <v>688</v>
      </c>
      <c r="D66" s="30" t="s">
        <v>689</v>
      </c>
      <c r="E66" s="924">
        <v>2</v>
      </c>
      <c r="F66" s="28">
        <v>3.66</v>
      </c>
    </row>
    <row r="67" spans="1:6" ht="33.000000">
      <c r="A67" s="4">
        <v>66</v>
      </c>
      <c r="B67" s="760" t="s">
        <v>997</v>
      </c>
      <c r="C67" s="760" t="s">
        <v>997</v>
      </c>
      <c r="D67" s="30" t="s">
        <v>998</v>
      </c>
      <c r="E67" s="924">
        <v>2</v>
      </c>
      <c r="F67" s="28">
        <v>3.65</v>
      </c>
    </row>
    <row r="68" spans="1:6" ht="33.000000">
      <c r="A68" s="4">
        <v>67</v>
      </c>
      <c r="B68" s="760" t="s">
        <v>363</v>
      </c>
      <c r="C68" s="760" t="s">
        <v>363</v>
      </c>
      <c r="D68" s="30" t="s">
        <v>364</v>
      </c>
      <c r="E68" s="924">
        <v>2</v>
      </c>
      <c r="F68" s="28">
        <v>3.64</v>
      </c>
    </row>
    <row r="69" spans="1:6" ht="33.000000">
      <c r="A69" s="4">
        <v>68</v>
      </c>
      <c r="B69" s="760" t="s">
        <v>177</v>
      </c>
      <c r="C69" s="760" t="s">
        <v>177</v>
      </c>
      <c r="D69" s="30" t="s">
        <v>986</v>
      </c>
      <c r="E69" s="924">
        <v>2</v>
      </c>
      <c r="F69" s="28">
        <v>3.6</v>
      </c>
    </row>
    <row r="70" spans="1:6" ht="33.000000">
      <c r="A70" s="4">
        <v>69</v>
      </c>
      <c r="B70" s="760" t="s">
        <v>464</v>
      </c>
      <c r="C70" s="760" t="s">
        <v>464</v>
      </c>
      <c r="D70" s="30" t="s">
        <v>465</v>
      </c>
      <c r="E70" s="924">
        <v>2</v>
      </c>
      <c r="F70" s="28">
        <v>3.6</v>
      </c>
    </row>
    <row r="71" spans="1:6" ht="33.000000">
      <c r="A71" s="4">
        <v>70</v>
      </c>
      <c r="B71" s="760" t="s">
        <v>174</v>
      </c>
      <c r="C71" s="760" t="s">
        <v>174</v>
      </c>
      <c r="D71" s="30" t="s">
        <v>654</v>
      </c>
      <c r="E71" s="924">
        <v>2</v>
      </c>
      <c r="F71" s="28">
        <v>3.58</v>
      </c>
    </row>
    <row r="72" spans="1:6" ht="33.000000">
      <c r="A72" s="4">
        <v>71</v>
      </c>
      <c r="B72" s="760" t="s">
        <v>150</v>
      </c>
      <c r="C72" s="760" t="s">
        <v>150</v>
      </c>
      <c r="D72" s="30" t="s">
        <v>151</v>
      </c>
      <c r="E72" s="924">
        <v>2</v>
      </c>
      <c r="F72" s="28">
        <v>3.55</v>
      </c>
    </row>
    <row r="73" spans="1:6" ht="49.500000">
      <c r="A73" s="4">
        <v>72</v>
      </c>
      <c r="B73" s="760" t="s">
        <v>491</v>
      </c>
      <c r="C73" s="760" t="s">
        <v>491</v>
      </c>
      <c r="D73" s="30" t="s">
        <v>650</v>
      </c>
      <c r="E73" s="924">
        <v>2</v>
      </c>
      <c r="F73" s="28">
        <v>3.49</v>
      </c>
    </row>
    <row r="74" spans="1:6" ht="66.000000">
      <c r="A74" s="4">
        <v>73</v>
      </c>
      <c r="B74" s="937" t="s">
        <v>1113</v>
      </c>
      <c r="C74" s="935" t="s">
        <v>747</v>
      </c>
      <c r="D74" s="30" t="s">
        <v>4337</v>
      </c>
      <c r="E74" s="924">
        <v>2</v>
      </c>
      <c r="F74" s="28">
        <v>3.47</v>
      </c>
    </row>
    <row r="75" spans="1:6" ht="33.000000">
      <c r="A75" s="4">
        <v>74</v>
      </c>
      <c r="B75" s="760" t="s">
        <v>152</v>
      </c>
      <c r="C75" s="760" t="s">
        <v>152</v>
      </c>
      <c r="D75" s="30" t="s">
        <v>153</v>
      </c>
      <c r="E75" s="924">
        <v>2</v>
      </c>
      <c r="F75" s="28">
        <v>3.44</v>
      </c>
    </row>
    <row r="76" spans="1:6" ht="49.500000">
      <c r="A76" s="4">
        <v>75</v>
      </c>
      <c r="B76" s="970" t="s">
        <v>38</v>
      </c>
      <c r="C76" s="975" t="s">
        <v>455</v>
      </c>
      <c r="D76" s="30" t="s">
        <v>456</v>
      </c>
      <c r="E76" s="924">
        <v>2</v>
      </c>
      <c r="F76" s="28">
        <v>3.42</v>
      </c>
    </row>
    <row r="77" spans="1:6" ht="49.500000">
      <c r="A77" s="4">
        <v>76</v>
      </c>
      <c r="B77" s="760" t="s">
        <v>540</v>
      </c>
      <c r="C77" s="760" t="s">
        <v>540</v>
      </c>
      <c r="D77" s="30" t="s">
        <v>541</v>
      </c>
      <c r="E77" s="924">
        <v>2</v>
      </c>
      <c r="F77" s="28">
        <v>3.38</v>
      </c>
    </row>
    <row r="78" spans="1:6" ht="49.500000">
      <c r="A78" s="4">
        <v>77</v>
      </c>
      <c r="B78" s="970" t="s">
        <v>337</v>
      </c>
      <c r="C78" s="971" t="s">
        <v>4468</v>
      </c>
      <c r="D78" s="30" t="s">
        <v>4469</v>
      </c>
      <c r="E78" s="924">
        <v>2</v>
      </c>
      <c r="F78" s="28">
        <v>3.37</v>
      </c>
    </row>
    <row r="79" spans="1:6" ht="49.500000">
      <c r="A79" s="4">
        <v>78</v>
      </c>
      <c r="B79" s="970" t="s">
        <v>393</v>
      </c>
      <c r="C79" s="975" t="s">
        <v>371</v>
      </c>
      <c r="D79" s="30" t="s">
        <v>4339</v>
      </c>
      <c r="E79" s="924">
        <v>2</v>
      </c>
      <c r="F79" s="28">
        <v>3.34</v>
      </c>
    </row>
    <row r="80" spans="1:6" ht="33.000000">
      <c r="A80" s="4">
        <v>79</v>
      </c>
      <c r="B80" s="760" t="s">
        <v>4</v>
      </c>
      <c r="C80" s="760" t="s">
        <v>4</v>
      </c>
      <c r="D80" s="30" t="s">
        <v>155</v>
      </c>
      <c r="E80" s="924">
        <v>2</v>
      </c>
      <c r="F80" s="28">
        <v>3.32</v>
      </c>
    </row>
    <row r="81" spans="1:6" ht="33.000000">
      <c r="A81" s="4">
        <v>80</v>
      </c>
      <c r="B81" s="760" t="s">
        <v>847</v>
      </c>
      <c r="C81" s="760" t="s">
        <v>847</v>
      </c>
      <c r="D81" s="30" t="s">
        <v>848</v>
      </c>
      <c r="E81" s="925">
        <v>3</v>
      </c>
      <c r="F81" s="28">
        <v>3.32</v>
      </c>
    </row>
    <row r="82" spans="1:6" ht="49.500000">
      <c r="A82" s="4">
        <v>81</v>
      </c>
      <c r="B82" s="760" t="s">
        <v>326</v>
      </c>
      <c r="C82" s="760" t="s">
        <v>326</v>
      </c>
      <c r="D82" s="30" t="s">
        <v>327</v>
      </c>
      <c r="E82" s="925">
        <v>3</v>
      </c>
      <c r="F82" s="28">
        <v>3.29</v>
      </c>
    </row>
    <row r="83" spans="1:6" ht="33.000000">
      <c r="A83" s="4">
        <v>82</v>
      </c>
      <c r="B83" s="760" t="s">
        <v>968</v>
      </c>
      <c r="C83" s="760" t="s">
        <v>968</v>
      </c>
      <c r="D83" s="30" t="s">
        <v>983</v>
      </c>
      <c r="E83" s="925">
        <v>3</v>
      </c>
      <c r="F83" s="28">
        <v>3.28</v>
      </c>
    </row>
    <row r="84" spans="1:6" ht="33.000000">
      <c r="A84" s="4">
        <v>83</v>
      </c>
      <c r="B84" s="970" t="s">
        <v>2418</v>
      </c>
      <c r="C84" s="975" t="s">
        <v>867</v>
      </c>
      <c r="D84" s="30" t="s">
        <v>868</v>
      </c>
      <c r="E84" s="925">
        <v>3</v>
      </c>
      <c r="F84" s="28">
        <v>3.26</v>
      </c>
    </row>
    <row r="85" spans="1:6" ht="49.500000">
      <c r="A85" s="4">
        <v>84</v>
      </c>
      <c r="B85" s="970" t="s">
        <v>173</v>
      </c>
      <c r="C85" s="975" t="s">
        <v>789</v>
      </c>
      <c r="D85" s="30" t="s">
        <v>790</v>
      </c>
      <c r="E85" s="925">
        <v>3</v>
      </c>
      <c r="F85" s="28">
        <v>3.25</v>
      </c>
    </row>
    <row r="86" spans="1:6" ht="33.000000">
      <c r="A86" s="4">
        <v>85</v>
      </c>
      <c r="B86" s="970" t="s">
        <v>14</v>
      </c>
      <c r="C86" s="971" t="s">
        <v>4480</v>
      </c>
      <c r="D86" s="30" t="s">
        <v>930</v>
      </c>
      <c r="E86" s="925">
        <v>3</v>
      </c>
      <c r="F86" s="28">
        <v>3.24</v>
      </c>
    </row>
    <row r="87" spans="1:6" ht="49.500000">
      <c r="A87" s="4">
        <v>86</v>
      </c>
      <c r="B87" s="760" t="s">
        <v>548</v>
      </c>
      <c r="C87" s="760" t="s">
        <v>548</v>
      </c>
      <c r="D87" s="30" t="s">
        <v>549</v>
      </c>
      <c r="E87" s="925">
        <v>3</v>
      </c>
      <c r="F87" s="28">
        <v>3.23</v>
      </c>
    </row>
    <row r="88" spans="1:6" ht="49.500000">
      <c r="A88" s="4">
        <v>87</v>
      </c>
      <c r="B88" s="760" t="s">
        <v>220</v>
      </c>
      <c r="C88" s="760" t="s">
        <v>220</v>
      </c>
      <c r="D88" s="30" t="s">
        <v>221</v>
      </c>
      <c r="E88" s="925">
        <v>3</v>
      </c>
      <c r="F88" s="28">
        <v>3.21</v>
      </c>
    </row>
    <row r="89" spans="1:6" ht="17.250000">
      <c r="A89" s="4">
        <v>88</v>
      </c>
      <c r="B89" s="760" t="s">
        <v>72</v>
      </c>
      <c r="C89" s="760" t="s">
        <v>72</v>
      </c>
      <c r="D89" s="30" t="s">
        <v>788</v>
      </c>
      <c r="E89" s="925">
        <v>3</v>
      </c>
      <c r="F89" s="28">
        <v>3.2</v>
      </c>
    </row>
    <row r="90" spans="1:6" ht="33.000000">
      <c r="A90" s="4">
        <v>89</v>
      </c>
      <c r="B90" s="760" t="s">
        <v>46</v>
      </c>
      <c r="C90" s="760" t="s">
        <v>46</v>
      </c>
      <c r="D90" s="30" t="s">
        <v>669</v>
      </c>
      <c r="E90" s="925">
        <v>3</v>
      </c>
      <c r="F90" s="28">
        <v>3.19</v>
      </c>
    </row>
    <row r="91" spans="1:6" ht="66.000000">
      <c r="A91" s="4">
        <v>90</v>
      </c>
      <c r="B91" s="970" t="s">
        <v>351</v>
      </c>
      <c r="C91" s="975" t="s">
        <v>249</v>
      </c>
      <c r="D91" s="30" t="s">
        <v>4340</v>
      </c>
      <c r="E91" s="925">
        <v>3</v>
      </c>
      <c r="F91" s="28">
        <v>3.19</v>
      </c>
    </row>
    <row r="92" spans="1:6" ht="49.500000">
      <c r="A92" s="4">
        <v>91</v>
      </c>
      <c r="B92" s="937" t="s">
        <v>2756</v>
      </c>
      <c r="C92" s="935" t="s">
        <v>845</v>
      </c>
      <c r="D92" s="30" t="s">
        <v>846</v>
      </c>
      <c r="E92" s="925">
        <v>3</v>
      </c>
      <c r="F92" s="28">
        <v>3.18</v>
      </c>
    </row>
    <row r="93" spans="1:6" ht="66.000000">
      <c r="A93" s="4">
        <v>92</v>
      </c>
      <c r="B93" s="970" t="s">
        <v>3073</v>
      </c>
      <c r="C93" s="975" t="s">
        <v>797</v>
      </c>
      <c r="D93" s="30" t="s">
        <v>4341</v>
      </c>
      <c r="E93" s="925">
        <v>3</v>
      </c>
      <c r="F93" s="28">
        <v>3.17</v>
      </c>
    </row>
    <row r="94" spans="1:6" ht="33.000000">
      <c r="A94" s="4">
        <v>93</v>
      </c>
      <c r="B94" s="970" t="s">
        <v>170</v>
      </c>
      <c r="C94" s="975" t="s">
        <v>447</v>
      </c>
      <c r="D94" s="30" t="s">
        <v>448</v>
      </c>
      <c r="E94" s="925">
        <v>3</v>
      </c>
      <c r="F94" s="28">
        <v>3.15</v>
      </c>
    </row>
    <row r="95" spans="1:6" ht="33.000000">
      <c r="A95" s="4">
        <v>94</v>
      </c>
      <c r="B95" s="937" t="s">
        <v>1045</v>
      </c>
      <c r="C95" s="935" t="s">
        <v>144</v>
      </c>
      <c r="D95" s="30" t="s">
        <v>145</v>
      </c>
      <c r="E95" s="925">
        <v>3</v>
      </c>
      <c r="F95" s="28">
        <v>3.14</v>
      </c>
    </row>
    <row r="96" spans="1:6" ht="49.500000">
      <c r="A96" s="4">
        <v>95</v>
      </c>
      <c r="B96" s="760" t="s">
        <v>322</v>
      </c>
      <c r="C96" s="760" t="s">
        <v>322</v>
      </c>
      <c r="D96" s="30" t="s">
        <v>323</v>
      </c>
      <c r="E96" s="925">
        <v>3</v>
      </c>
      <c r="F96" s="28">
        <v>3.14</v>
      </c>
    </row>
    <row r="97" spans="1:6" ht="33.000000">
      <c r="A97" s="4">
        <v>96</v>
      </c>
      <c r="B97" s="760" t="s">
        <v>598</v>
      </c>
      <c r="C97" s="760" t="s">
        <v>598</v>
      </c>
      <c r="D97" s="30" t="s">
        <v>599</v>
      </c>
      <c r="E97" s="925">
        <v>3</v>
      </c>
      <c r="F97" s="28">
        <v>3.13</v>
      </c>
    </row>
    <row r="98" spans="1:6" ht="49.500000">
      <c r="A98" s="4">
        <v>97</v>
      </c>
      <c r="B98" s="760" t="s">
        <v>595</v>
      </c>
      <c r="C98" s="760" t="s">
        <v>595</v>
      </c>
      <c r="D98" s="30" t="s">
        <v>596</v>
      </c>
      <c r="E98" s="925">
        <v>3</v>
      </c>
      <c r="F98" s="28">
        <v>3.13</v>
      </c>
    </row>
    <row r="99" spans="1:6" ht="49.500000">
      <c r="A99" s="4">
        <v>98</v>
      </c>
      <c r="B99" s="760" t="s">
        <v>75</v>
      </c>
      <c r="C99" s="760" t="s">
        <v>75</v>
      </c>
      <c r="D99" s="30" t="s">
        <v>980</v>
      </c>
      <c r="E99" s="925">
        <v>3</v>
      </c>
      <c r="F99" s="28">
        <v>3.11</v>
      </c>
    </row>
    <row r="100" spans="1:6" ht="17.250000">
      <c r="A100" s="4">
        <v>99</v>
      </c>
      <c r="B100" s="937" t="s">
        <v>3247</v>
      </c>
      <c r="C100" s="594" t="s">
        <v>763</v>
      </c>
      <c r="D100" s="30" t="s">
        <v>764</v>
      </c>
      <c r="E100" s="925">
        <v>3</v>
      </c>
      <c r="F100" s="28">
        <v>3.1</v>
      </c>
    </row>
    <row r="101" spans="1:6" ht="33.000000">
      <c r="A101" s="4">
        <v>100</v>
      </c>
      <c r="B101" s="970" t="s">
        <v>335</v>
      </c>
      <c r="C101" s="975" t="s">
        <v>250</v>
      </c>
      <c r="D101" s="30" t="s">
        <v>941</v>
      </c>
      <c r="E101" s="925">
        <v>3</v>
      </c>
      <c r="F101" s="28">
        <v>3.07</v>
      </c>
    </row>
    <row r="102" spans="1:6" ht="33.000000">
      <c r="A102" s="4">
        <v>101</v>
      </c>
      <c r="B102" s="760" t="s">
        <v>396</v>
      </c>
      <c r="C102" s="760" t="s">
        <v>396</v>
      </c>
      <c r="D102" s="30" t="s">
        <v>636</v>
      </c>
      <c r="E102" s="925">
        <v>3</v>
      </c>
      <c r="F102" s="28">
        <v>3.06</v>
      </c>
    </row>
    <row r="103" spans="1:6" ht="33.000000">
      <c r="A103" s="4">
        <v>102</v>
      </c>
      <c r="B103" s="970" t="s">
        <v>490</v>
      </c>
      <c r="C103" s="975" t="s">
        <v>857</v>
      </c>
      <c r="D103" s="30" t="s">
        <v>2429</v>
      </c>
      <c r="E103" s="925">
        <v>3</v>
      </c>
      <c r="F103" s="28">
        <v>3.06</v>
      </c>
    </row>
    <row r="104" spans="1:6" ht="33.000000">
      <c r="A104" s="4">
        <v>103</v>
      </c>
      <c r="B104" s="937" t="s">
        <v>2758</v>
      </c>
      <c r="C104" s="935" t="s">
        <v>851</v>
      </c>
      <c r="D104" s="30" t="s">
        <v>852</v>
      </c>
      <c r="E104" s="925">
        <v>3</v>
      </c>
      <c r="F104" s="28">
        <v>3.03</v>
      </c>
    </row>
    <row r="105" spans="1:6" ht="49.500000">
      <c r="A105" s="4">
        <v>104</v>
      </c>
      <c r="B105" s="760" t="s">
        <v>772</v>
      </c>
      <c r="C105" s="760" t="s">
        <v>772</v>
      </c>
      <c r="D105" s="30" t="s">
        <v>4342</v>
      </c>
      <c r="E105" s="925">
        <v>3</v>
      </c>
      <c r="F105" s="28">
        <v>3.02</v>
      </c>
    </row>
    <row r="106" spans="1:6" ht="33.000000">
      <c r="A106" s="4">
        <v>105</v>
      </c>
      <c r="B106" s="760" t="s">
        <v>11</v>
      </c>
      <c r="C106" s="760" t="s">
        <v>11</v>
      </c>
      <c r="D106" s="30" t="s">
        <v>4343</v>
      </c>
      <c r="E106" s="925">
        <v>3</v>
      </c>
      <c r="F106" s="28">
        <v>3.01</v>
      </c>
    </row>
    <row r="107" spans="1:6" ht="33.000000">
      <c r="A107" s="4">
        <v>106</v>
      </c>
      <c r="B107" s="760" t="s">
        <v>318</v>
      </c>
      <c r="C107" s="760" t="s">
        <v>318</v>
      </c>
      <c r="D107" s="30" t="s">
        <v>319</v>
      </c>
      <c r="E107" s="925">
        <v>3</v>
      </c>
      <c r="F107" s="28">
        <v>3.01</v>
      </c>
    </row>
    <row r="108" spans="1:6" ht="49.500000">
      <c r="A108" s="4">
        <v>107</v>
      </c>
      <c r="B108" s="760" t="s">
        <v>672</v>
      </c>
      <c r="C108" s="760" t="s">
        <v>672</v>
      </c>
      <c r="D108" s="30" t="s">
        <v>673</v>
      </c>
      <c r="E108" s="925">
        <v>3</v>
      </c>
      <c r="F108" s="28">
        <v>3</v>
      </c>
    </row>
    <row r="109" spans="1:6" ht="49.500000">
      <c r="A109" s="4">
        <v>108</v>
      </c>
      <c r="B109" s="937" t="s">
        <v>272</v>
      </c>
      <c r="C109" s="935" t="s">
        <v>376</v>
      </c>
      <c r="D109" s="30" t="s">
        <v>378</v>
      </c>
      <c r="E109" s="925">
        <v>3</v>
      </c>
      <c r="F109" s="28">
        <v>2.98</v>
      </c>
    </row>
    <row r="110" spans="1:6" ht="33.000000">
      <c r="A110" s="4">
        <v>109</v>
      </c>
      <c r="B110" s="760" t="s">
        <v>473</v>
      </c>
      <c r="C110" s="760" t="s">
        <v>473</v>
      </c>
      <c r="D110" s="30" t="s">
        <v>474</v>
      </c>
      <c r="E110" s="925">
        <v>3</v>
      </c>
      <c r="F110" s="28">
        <v>2.98</v>
      </c>
    </row>
    <row r="111" spans="1:6" ht="33.000000">
      <c r="A111" s="4">
        <v>110</v>
      </c>
      <c r="B111" s="937" t="s">
        <v>567</v>
      </c>
      <c r="C111" s="935" t="s">
        <v>475</v>
      </c>
      <c r="D111" s="30" t="s">
        <v>476</v>
      </c>
      <c r="E111" s="925">
        <v>3</v>
      </c>
      <c r="F111" s="28">
        <v>2.97</v>
      </c>
    </row>
    <row r="112" spans="1:6" ht="33.000000">
      <c r="A112" s="4">
        <v>111</v>
      </c>
      <c r="B112" s="760" t="s">
        <v>630</v>
      </c>
      <c r="C112" s="760" t="s">
        <v>630</v>
      </c>
      <c r="D112" s="30" t="s">
        <v>631</v>
      </c>
      <c r="E112" s="925">
        <v>3</v>
      </c>
      <c r="F112" s="28">
        <v>2.95</v>
      </c>
    </row>
    <row r="113" spans="1:6" ht="49.500000">
      <c r="A113" s="4">
        <v>112</v>
      </c>
      <c r="B113" s="760" t="s">
        <v>361</v>
      </c>
      <c r="C113" s="760" t="s">
        <v>361</v>
      </c>
      <c r="D113" s="30" t="s">
        <v>362</v>
      </c>
      <c r="E113" s="925">
        <v>3</v>
      </c>
      <c r="F113" s="28">
        <v>2.95</v>
      </c>
    </row>
    <row r="114" spans="1:6" ht="49.500000">
      <c r="A114" s="4">
        <v>113</v>
      </c>
      <c r="B114" s="973" t="s">
        <v>557</v>
      </c>
      <c r="C114" s="975" t="s">
        <v>892</v>
      </c>
      <c r="D114" s="30" t="s">
        <v>563</v>
      </c>
      <c r="E114" s="925">
        <v>3</v>
      </c>
      <c r="F114" s="28">
        <v>2.95</v>
      </c>
    </row>
    <row r="115" spans="1:6" ht="49.500000">
      <c r="A115" s="4">
        <v>114</v>
      </c>
      <c r="B115" s="760" t="s">
        <v>735</v>
      </c>
      <c r="C115" s="760" t="s">
        <v>735</v>
      </c>
      <c r="D115" s="30" t="s">
        <v>736</v>
      </c>
      <c r="E115" s="925">
        <v>3</v>
      </c>
      <c r="F115" s="28">
        <v>2.89</v>
      </c>
    </row>
    <row r="116" spans="1:6" ht="33.000000">
      <c r="A116" s="4">
        <v>115</v>
      </c>
      <c r="B116" s="970" t="s">
        <v>967</v>
      </c>
      <c r="C116" s="971" t="s">
        <v>4464</v>
      </c>
      <c r="D116" s="30" t="s">
        <v>4463</v>
      </c>
      <c r="E116" s="925">
        <v>3</v>
      </c>
      <c r="F116" s="28">
        <v>2.89</v>
      </c>
    </row>
    <row r="117" spans="1:6" ht="33.000000">
      <c r="A117" s="4">
        <v>116</v>
      </c>
      <c r="B117" s="937" t="s">
        <v>501</v>
      </c>
      <c r="C117" s="935" t="s">
        <v>528</v>
      </c>
      <c r="D117" s="30" t="s">
        <v>529</v>
      </c>
      <c r="E117" s="925">
        <v>3</v>
      </c>
      <c r="F117" s="28">
        <v>2.87</v>
      </c>
    </row>
    <row r="118" spans="1:6" ht="33.000000">
      <c r="A118" s="4">
        <v>117</v>
      </c>
      <c r="B118" s="760" t="s">
        <v>914</v>
      </c>
      <c r="C118" s="760" t="s">
        <v>914</v>
      </c>
      <c r="D118" s="30" t="s">
        <v>922</v>
      </c>
      <c r="E118" s="925">
        <v>3</v>
      </c>
      <c r="F118" s="28">
        <v>2.86</v>
      </c>
    </row>
    <row r="119" spans="1:6" ht="33.000000">
      <c r="A119" s="4">
        <v>118</v>
      </c>
      <c r="B119" s="760" t="s">
        <v>385</v>
      </c>
      <c r="C119" s="760" t="s">
        <v>385</v>
      </c>
      <c r="D119" s="30" t="s">
        <v>386</v>
      </c>
      <c r="E119" s="925">
        <v>3</v>
      </c>
      <c r="F119" s="28">
        <v>2.84</v>
      </c>
    </row>
    <row r="120" spans="1:6" ht="33.000000">
      <c r="A120" s="4">
        <v>119</v>
      </c>
      <c r="B120" s="760" t="s">
        <v>418</v>
      </c>
      <c r="C120" s="760" t="s">
        <v>418</v>
      </c>
      <c r="D120" s="30" t="s">
        <v>419</v>
      </c>
      <c r="E120" s="925">
        <v>3</v>
      </c>
      <c r="F120" s="28">
        <v>2.8</v>
      </c>
    </row>
    <row r="121" spans="1:6" ht="49.500000">
      <c r="A121" s="4">
        <v>120</v>
      </c>
      <c r="B121" s="760" t="s">
        <v>434</v>
      </c>
      <c r="C121" s="760" t="s">
        <v>434</v>
      </c>
      <c r="D121" s="30" t="s">
        <v>4344</v>
      </c>
      <c r="E121" s="925">
        <v>3</v>
      </c>
      <c r="F121" s="28">
        <v>2.79</v>
      </c>
    </row>
    <row r="122" spans="1:6" ht="33.000000">
      <c r="A122" s="4">
        <v>121</v>
      </c>
      <c r="B122" s="760" t="s">
        <v>924</v>
      </c>
      <c r="C122" s="760" t="s">
        <v>924</v>
      </c>
      <c r="D122" s="30" t="s">
        <v>925</v>
      </c>
      <c r="E122" s="925">
        <v>3</v>
      </c>
      <c r="F122" s="28">
        <v>2.79</v>
      </c>
    </row>
    <row r="123" spans="1:6" ht="33.000000">
      <c r="A123" s="4">
        <v>122</v>
      </c>
      <c r="B123" s="760" t="s">
        <v>643</v>
      </c>
      <c r="C123" s="760" t="s">
        <v>643</v>
      </c>
      <c r="D123" s="30" t="s">
        <v>644</v>
      </c>
      <c r="E123" s="925">
        <v>3</v>
      </c>
      <c r="F123" s="28">
        <v>2.77</v>
      </c>
    </row>
    <row r="124" spans="1:6" ht="49.500000">
      <c r="A124" s="4">
        <v>123</v>
      </c>
      <c r="B124" s="760" t="s">
        <v>207</v>
      </c>
      <c r="C124" s="760" t="s">
        <v>207</v>
      </c>
      <c r="D124" s="30" t="s">
        <v>208</v>
      </c>
      <c r="E124" s="925">
        <v>3</v>
      </c>
      <c r="F124" s="28">
        <v>2.75</v>
      </c>
    </row>
    <row r="125" spans="1:6" ht="33.000000">
      <c r="A125" s="4">
        <v>124</v>
      </c>
      <c r="B125" s="760" t="s">
        <v>585</v>
      </c>
      <c r="C125" s="760" t="s">
        <v>585</v>
      </c>
      <c r="D125" s="30" t="s">
        <v>939</v>
      </c>
      <c r="E125" s="925">
        <v>3</v>
      </c>
      <c r="F125" s="28">
        <v>2.74</v>
      </c>
    </row>
    <row r="126" spans="1:6" ht="17.250000">
      <c r="A126" s="4">
        <v>125</v>
      </c>
      <c r="B126" s="760" t="s">
        <v>290</v>
      </c>
      <c r="C126" s="760" t="s">
        <v>290</v>
      </c>
      <c r="D126" s="30" t="s">
        <v>291</v>
      </c>
      <c r="E126" s="925">
        <v>3</v>
      </c>
      <c r="F126" s="28">
        <v>2.72</v>
      </c>
    </row>
    <row r="127" spans="1:6" ht="33.000000">
      <c r="A127" s="4">
        <v>126</v>
      </c>
      <c r="B127" s="760" t="s">
        <v>460</v>
      </c>
      <c r="C127" s="760" t="s">
        <v>460</v>
      </c>
      <c r="D127" s="30" t="s">
        <v>461</v>
      </c>
      <c r="E127" s="925">
        <v>3</v>
      </c>
      <c r="F127" s="28">
        <v>2.71</v>
      </c>
    </row>
    <row r="128" spans="1:6" ht="39.750000" customHeight="1">
      <c r="A128" s="4">
        <v>127</v>
      </c>
      <c r="B128" s="937" t="s">
        <v>2395</v>
      </c>
      <c r="C128" s="966" t="s">
        <v>710</v>
      </c>
      <c r="D128" s="30" t="s">
        <v>711</v>
      </c>
      <c r="E128" s="925">
        <v>3</v>
      </c>
      <c r="F128" s="28">
        <v>2.71</v>
      </c>
    </row>
    <row r="129" spans="1:6" ht="49.500000">
      <c r="A129" s="4">
        <v>128</v>
      </c>
      <c r="B129" s="937" t="s">
        <v>977</v>
      </c>
      <c r="C129" s="935" t="s">
        <v>707</v>
      </c>
      <c r="D129" s="30" t="s">
        <v>4345</v>
      </c>
      <c r="E129" s="925">
        <v>3</v>
      </c>
      <c r="F129" s="28">
        <v>2.7</v>
      </c>
    </row>
    <row r="130" spans="1:6" ht="49.500000">
      <c r="A130" s="4">
        <v>129</v>
      </c>
      <c r="B130" s="760" t="s">
        <v>916</v>
      </c>
      <c r="C130" s="760" t="s">
        <v>916</v>
      </c>
      <c r="D130" s="30" t="s">
        <v>4346</v>
      </c>
      <c r="E130" s="925">
        <v>3</v>
      </c>
      <c r="F130" s="28">
        <v>2.67</v>
      </c>
    </row>
    <row r="131" spans="1:6" ht="66.000000">
      <c r="A131" s="4">
        <v>130</v>
      </c>
      <c r="B131" s="937" t="s">
        <v>502</v>
      </c>
      <c r="C131" s="935" t="s">
        <v>803</v>
      </c>
      <c r="D131" s="30" t="s">
        <v>4347</v>
      </c>
      <c r="E131" s="925">
        <v>3</v>
      </c>
      <c r="F131" s="28">
        <v>2.67</v>
      </c>
    </row>
    <row r="132" spans="1:6" ht="66.000000">
      <c r="A132" s="4">
        <v>131</v>
      </c>
      <c r="B132" s="760" t="s">
        <v>2394</v>
      </c>
      <c r="C132" s="760" t="s">
        <v>2394</v>
      </c>
      <c r="D132" s="30" t="s">
        <v>4348</v>
      </c>
      <c r="E132" s="925">
        <v>3</v>
      </c>
      <c r="F132" s="28">
        <v>2.65</v>
      </c>
    </row>
    <row r="133" spans="1:6" ht="49.500000">
      <c r="A133" s="4">
        <v>132</v>
      </c>
      <c r="B133" s="760" t="s">
        <v>1026</v>
      </c>
      <c r="C133" s="760" t="s">
        <v>1026</v>
      </c>
      <c r="D133" s="30" t="s">
        <v>4349</v>
      </c>
      <c r="E133" s="925">
        <v>3</v>
      </c>
      <c r="F133" s="28">
        <v>2.57</v>
      </c>
    </row>
    <row r="134" spans="1:6" ht="33.000000">
      <c r="A134" s="4">
        <v>133</v>
      </c>
      <c r="B134" s="937" t="s">
        <v>1115</v>
      </c>
      <c r="C134" s="935" t="s">
        <v>466</v>
      </c>
      <c r="D134" s="30" t="s">
        <v>467</v>
      </c>
      <c r="E134" s="925">
        <v>3</v>
      </c>
      <c r="F134" s="28">
        <v>2.56</v>
      </c>
    </row>
    <row r="135" spans="1:6" ht="66.000000">
      <c r="A135" s="4">
        <v>134</v>
      </c>
      <c r="B135" s="970" t="s">
        <v>487</v>
      </c>
      <c r="C135" s="975" t="s">
        <v>865</v>
      </c>
      <c r="D135" s="30" t="s">
        <v>866</v>
      </c>
      <c r="E135" s="925">
        <v>3</v>
      </c>
      <c r="F135" s="28">
        <v>2.55</v>
      </c>
    </row>
    <row r="136" spans="1:6" ht="49.500000">
      <c r="A136" s="4">
        <v>135</v>
      </c>
      <c r="B136" s="970" t="s">
        <v>1091</v>
      </c>
      <c r="C136" s="971" t="s">
        <v>4482</v>
      </c>
      <c r="D136" s="30" t="s">
        <v>4483</v>
      </c>
      <c r="E136" s="925">
        <v>3</v>
      </c>
      <c r="F136" s="28">
        <v>2.55</v>
      </c>
    </row>
    <row r="137" spans="1:6" ht="49.500000">
      <c r="A137" s="4">
        <v>136</v>
      </c>
      <c r="B137" s="970" t="s">
        <v>900</v>
      </c>
      <c r="C137" s="971" t="s">
        <v>4481</v>
      </c>
      <c r="D137" s="30" t="s">
        <v>4350</v>
      </c>
      <c r="E137" s="925">
        <v>3</v>
      </c>
      <c r="F137" s="28">
        <v>2.54</v>
      </c>
    </row>
    <row r="138" spans="1:6" ht="33.000000">
      <c r="A138" s="4">
        <v>137</v>
      </c>
      <c r="B138" s="760" t="s">
        <v>48</v>
      </c>
      <c r="C138" s="760" t="s">
        <v>48</v>
      </c>
      <c r="D138" s="30" t="s">
        <v>424</v>
      </c>
      <c r="E138" s="925">
        <v>3</v>
      </c>
      <c r="F138" s="28">
        <v>2.53</v>
      </c>
    </row>
    <row r="139" spans="1:6" ht="66.000000">
      <c r="A139" s="4">
        <v>138</v>
      </c>
      <c r="B139" s="760" t="s">
        <v>726</v>
      </c>
      <c r="C139" s="760" t="s">
        <v>726</v>
      </c>
      <c r="D139" s="30" t="s">
        <v>4351</v>
      </c>
      <c r="E139" s="925">
        <v>3</v>
      </c>
      <c r="F139" s="28">
        <v>2.52</v>
      </c>
    </row>
    <row r="140" spans="1:6" ht="33.000000">
      <c r="A140" s="4">
        <v>139</v>
      </c>
      <c r="B140" s="760" t="s">
        <v>45</v>
      </c>
      <c r="C140" s="760" t="s">
        <v>45</v>
      </c>
      <c r="D140" s="30" t="s">
        <v>330</v>
      </c>
      <c r="E140" s="925">
        <v>3</v>
      </c>
      <c r="F140" s="28">
        <v>2.48</v>
      </c>
    </row>
    <row r="141" spans="1:6" ht="33.000000">
      <c r="A141" s="4">
        <v>140</v>
      </c>
      <c r="B141" s="760" t="s">
        <v>69</v>
      </c>
      <c r="C141" s="760" t="s">
        <v>69</v>
      </c>
      <c r="D141" s="30" t="s">
        <v>933</v>
      </c>
      <c r="E141" s="925">
        <v>3</v>
      </c>
      <c r="F141" s="28">
        <v>2.47</v>
      </c>
    </row>
    <row r="142" spans="1:6" ht="49.500000">
      <c r="A142" s="4">
        <v>141</v>
      </c>
      <c r="B142" s="970" t="s">
        <v>3161</v>
      </c>
      <c r="C142" s="975" t="s">
        <v>730</v>
      </c>
      <c r="D142" s="30" t="s">
        <v>731</v>
      </c>
      <c r="E142" s="925">
        <v>3</v>
      </c>
      <c r="F142" s="28">
        <v>2.46</v>
      </c>
    </row>
    <row r="143" spans="1:6" ht="33.000000">
      <c r="A143" s="4">
        <v>142</v>
      </c>
      <c r="B143" s="760" t="s">
        <v>70</v>
      </c>
      <c r="C143" s="760" t="s">
        <v>70</v>
      </c>
      <c r="D143" s="30" t="s">
        <v>992</v>
      </c>
      <c r="E143" s="925">
        <v>3</v>
      </c>
      <c r="F143" s="28">
        <v>2.45</v>
      </c>
    </row>
    <row r="144" spans="1:6" ht="17.250000">
      <c r="A144" s="4">
        <v>143</v>
      </c>
      <c r="B144" s="760" t="s">
        <v>837</v>
      </c>
      <c r="C144" s="760" t="s">
        <v>837</v>
      </c>
      <c r="D144" s="30" t="s">
        <v>2325</v>
      </c>
      <c r="E144" s="925">
        <v>3</v>
      </c>
      <c r="F144" s="28">
        <v>2.43</v>
      </c>
    </row>
    <row r="145" spans="1:6" ht="49.500000">
      <c r="A145" s="4">
        <v>144</v>
      </c>
      <c r="B145" s="970" t="s">
        <v>169</v>
      </c>
      <c r="C145" s="975" t="s">
        <v>546</v>
      </c>
      <c r="D145" s="30" t="s">
        <v>547</v>
      </c>
      <c r="E145" s="925">
        <v>3</v>
      </c>
      <c r="F145" s="28">
        <v>2.42</v>
      </c>
    </row>
    <row r="146" spans="1:6" ht="49.500000">
      <c r="A146" s="4">
        <v>145</v>
      </c>
      <c r="B146" s="760" t="s">
        <v>172</v>
      </c>
      <c r="C146" s="760" t="s">
        <v>172</v>
      </c>
      <c r="D146" s="30" t="s">
        <v>1037</v>
      </c>
      <c r="E146" s="925">
        <v>3</v>
      </c>
      <c r="F146" s="28">
        <v>2.41</v>
      </c>
    </row>
    <row r="147" spans="1:6" ht="49.500000">
      <c r="A147" s="4">
        <v>146</v>
      </c>
      <c r="B147" s="760" t="s">
        <v>369</v>
      </c>
      <c r="C147" s="760" t="s">
        <v>369</v>
      </c>
      <c r="D147" s="30" t="s">
        <v>370</v>
      </c>
      <c r="E147" s="925">
        <v>3</v>
      </c>
      <c r="F147" s="28">
        <v>2.4</v>
      </c>
    </row>
    <row r="148" spans="1:6" ht="66.000000">
      <c r="A148" s="4">
        <v>147</v>
      </c>
      <c r="B148" s="760" t="s">
        <v>802</v>
      </c>
      <c r="C148" s="760" t="s">
        <v>802</v>
      </c>
      <c r="D148" s="30" t="s">
        <v>809</v>
      </c>
      <c r="E148" s="925">
        <v>3</v>
      </c>
      <c r="F148" s="28">
        <v>2.4</v>
      </c>
    </row>
    <row r="149" spans="1:6" ht="17.250000">
      <c r="A149" s="4">
        <v>148</v>
      </c>
      <c r="B149" s="970" t="s">
        <v>601</v>
      </c>
      <c r="C149" s="975" t="s">
        <v>284</v>
      </c>
      <c r="D149" s="30" t="s">
        <v>285</v>
      </c>
      <c r="E149" s="925">
        <v>3</v>
      </c>
      <c r="F149" s="28">
        <v>2.4</v>
      </c>
    </row>
    <row r="150" spans="1:6" ht="33.000000">
      <c r="A150" s="4">
        <v>149</v>
      </c>
      <c r="B150" s="937" t="s">
        <v>1042</v>
      </c>
      <c r="C150" s="935" t="s">
        <v>721</v>
      </c>
      <c r="D150" s="30" t="s">
        <v>722</v>
      </c>
      <c r="E150" s="925">
        <v>3</v>
      </c>
      <c r="F150" s="28">
        <v>2.39</v>
      </c>
    </row>
    <row r="151" spans="1:6" ht="33.000000">
      <c r="A151" s="4">
        <v>150</v>
      </c>
      <c r="B151" s="760" t="s">
        <v>616</v>
      </c>
      <c r="C151" s="760" t="s">
        <v>616</v>
      </c>
      <c r="D151" s="30" t="s">
        <v>705</v>
      </c>
      <c r="E151" s="925">
        <v>3</v>
      </c>
      <c r="F151" s="28">
        <v>2.35</v>
      </c>
    </row>
    <row r="152" spans="1:6" ht="33.000000">
      <c r="A152" s="4">
        <v>151</v>
      </c>
      <c r="B152" s="760" t="s">
        <v>2705</v>
      </c>
      <c r="C152" s="760" t="s">
        <v>2705</v>
      </c>
      <c r="D152" s="30" t="s">
        <v>700</v>
      </c>
      <c r="E152" s="925">
        <v>3</v>
      </c>
      <c r="F152" s="28">
        <v>2.34</v>
      </c>
    </row>
    <row r="153" spans="1:6" ht="33.000000">
      <c r="A153" s="4">
        <v>152</v>
      </c>
      <c r="B153" s="760" t="s">
        <v>861</v>
      </c>
      <c r="C153" s="760" t="s">
        <v>861</v>
      </c>
      <c r="D153" s="30" t="s">
        <v>862</v>
      </c>
      <c r="E153" s="925">
        <v>3</v>
      </c>
      <c r="F153" s="28">
        <v>2.32</v>
      </c>
    </row>
    <row r="154" spans="1:6" ht="49.500000">
      <c r="A154" s="4">
        <v>153</v>
      </c>
      <c r="B154" s="760" t="s">
        <v>240</v>
      </c>
      <c r="C154" s="760" t="s">
        <v>240</v>
      </c>
      <c r="D154" s="30" t="s">
        <v>241</v>
      </c>
      <c r="E154" s="925">
        <v>3</v>
      </c>
      <c r="F154" s="28">
        <v>2.27</v>
      </c>
    </row>
    <row r="155" spans="1:6" ht="33.000000">
      <c r="A155" s="4">
        <v>154</v>
      </c>
      <c r="B155" s="760" t="s">
        <v>6</v>
      </c>
      <c r="C155" s="760" t="s">
        <v>6</v>
      </c>
      <c r="D155" s="30" t="s">
        <v>850</v>
      </c>
      <c r="E155" s="925">
        <v>3</v>
      </c>
      <c r="F155" s="28">
        <v>2.26</v>
      </c>
    </row>
    <row r="156" spans="1:6" ht="33.000000">
      <c r="A156" s="4">
        <v>155</v>
      </c>
      <c r="B156" s="760" t="s">
        <v>859</v>
      </c>
      <c r="C156" s="760" t="s">
        <v>859</v>
      </c>
      <c r="D156" s="30" t="s">
        <v>860</v>
      </c>
      <c r="E156" s="925">
        <v>3</v>
      </c>
      <c r="F156" s="28">
        <v>2.25</v>
      </c>
    </row>
    <row r="157" spans="1:6" ht="33.000000">
      <c r="A157" s="4">
        <v>156</v>
      </c>
      <c r="B157" s="760" t="s">
        <v>68</v>
      </c>
      <c r="C157" s="760" t="s">
        <v>68</v>
      </c>
      <c r="D157" s="30" t="s">
        <v>287</v>
      </c>
      <c r="E157" s="925">
        <v>3</v>
      </c>
      <c r="F157" s="28">
        <v>2.23</v>
      </c>
    </row>
    <row r="158" spans="1:6" ht="33.000000">
      <c r="A158" s="4">
        <v>157</v>
      </c>
      <c r="B158" s="760" t="s">
        <v>222</v>
      </c>
      <c r="C158" s="760" t="s">
        <v>222</v>
      </c>
      <c r="D158" s="30" t="s">
        <v>223</v>
      </c>
      <c r="E158" s="925">
        <v>3</v>
      </c>
      <c r="F158" s="28">
        <v>2.21</v>
      </c>
    </row>
    <row r="159" spans="1:6" ht="49.500000">
      <c r="A159" s="4">
        <v>158</v>
      </c>
      <c r="B159" s="937" t="s">
        <v>271</v>
      </c>
      <c r="C159" s="935" t="s">
        <v>655</v>
      </c>
      <c r="D159" s="30" t="s">
        <v>656</v>
      </c>
      <c r="E159" s="925">
        <v>3</v>
      </c>
      <c r="F159" s="28">
        <v>2.2</v>
      </c>
    </row>
    <row r="160" spans="1:6" ht="33.000000">
      <c r="A160" s="4">
        <v>159</v>
      </c>
      <c r="B160" s="760" t="s">
        <v>618</v>
      </c>
      <c r="C160" s="760" t="s">
        <v>618</v>
      </c>
      <c r="D160" s="30" t="s">
        <v>990</v>
      </c>
      <c r="E160" s="925">
        <v>3</v>
      </c>
      <c r="F160" s="28">
        <v>2.2</v>
      </c>
    </row>
    <row r="161" spans="1:6" ht="49.500000">
      <c r="A161" s="4">
        <v>160</v>
      </c>
      <c r="B161" s="760" t="s">
        <v>489</v>
      </c>
      <c r="C161" s="760" t="s">
        <v>489</v>
      </c>
      <c r="D161" s="30" t="s">
        <v>942</v>
      </c>
      <c r="E161" s="925">
        <v>3</v>
      </c>
      <c r="F161" s="28">
        <v>2.18</v>
      </c>
    </row>
    <row r="162" spans="1:6" ht="49.500000">
      <c r="A162" s="4">
        <v>161</v>
      </c>
      <c r="B162" s="760" t="s">
        <v>462</v>
      </c>
      <c r="C162" s="760" t="s">
        <v>462</v>
      </c>
      <c r="D162" s="30" t="s">
        <v>463</v>
      </c>
      <c r="E162" s="925">
        <v>3</v>
      </c>
      <c r="F162" s="28">
        <v>2.18</v>
      </c>
    </row>
    <row r="163" spans="1:6" ht="49.500000">
      <c r="A163" s="4">
        <v>162</v>
      </c>
      <c r="B163" s="970" t="s">
        <v>2474</v>
      </c>
      <c r="C163" s="975" t="s">
        <v>765</v>
      </c>
      <c r="D163" s="30" t="s">
        <v>4352</v>
      </c>
      <c r="E163" s="925">
        <v>3</v>
      </c>
      <c r="F163" s="28">
        <v>2.18</v>
      </c>
    </row>
    <row r="164" spans="1:6" ht="49.500000">
      <c r="A164" s="4">
        <v>163</v>
      </c>
      <c r="B164" s="760" t="s">
        <v>600</v>
      </c>
      <c r="C164" s="760" t="s">
        <v>600</v>
      </c>
      <c r="D164" s="30" t="s">
        <v>4353</v>
      </c>
      <c r="E164" s="925">
        <v>3</v>
      </c>
      <c r="F164" s="28">
        <v>2.16</v>
      </c>
    </row>
    <row r="165" spans="1:6" ht="49.500000">
      <c r="A165" s="4">
        <v>164</v>
      </c>
      <c r="B165" s="973" t="s">
        <v>67</v>
      </c>
      <c r="C165" s="975" t="s">
        <v>483</v>
      </c>
      <c r="D165" s="30" t="s">
        <v>484</v>
      </c>
      <c r="E165" s="925">
        <v>3</v>
      </c>
      <c r="F165" s="28">
        <v>2.15</v>
      </c>
    </row>
    <row r="166" spans="1:6" ht="33.000000">
      <c r="A166" s="4">
        <v>165</v>
      </c>
      <c r="B166" s="760" t="s">
        <v>7</v>
      </c>
      <c r="C166" s="760" t="s">
        <v>7</v>
      </c>
      <c r="D166" s="30" t="s">
        <v>902</v>
      </c>
      <c r="E166" s="925">
        <v>3</v>
      </c>
      <c r="F166" s="28">
        <v>2.15</v>
      </c>
    </row>
    <row r="167" spans="1:6" ht="49.500000">
      <c r="A167" s="4">
        <v>166</v>
      </c>
      <c r="B167" s="760" t="s">
        <v>617</v>
      </c>
      <c r="C167" s="760" t="s">
        <v>617</v>
      </c>
      <c r="D167" s="30" t="s">
        <v>993</v>
      </c>
      <c r="E167" s="925">
        <v>3</v>
      </c>
      <c r="F167" s="28">
        <v>2.12</v>
      </c>
    </row>
    <row r="168" spans="1:6" ht="49.500000">
      <c r="A168" s="4">
        <v>167</v>
      </c>
      <c r="B168" s="937" t="s">
        <v>3796</v>
      </c>
      <c r="C168" s="935" t="s">
        <v>807</v>
      </c>
      <c r="D168" s="30" t="s">
        <v>815</v>
      </c>
      <c r="E168" s="925">
        <v>3</v>
      </c>
      <c r="F168" s="28">
        <v>2.11</v>
      </c>
    </row>
    <row r="169" spans="1:6" ht="49.500000">
      <c r="A169" s="4">
        <v>168</v>
      </c>
      <c r="B169" s="760" t="s">
        <v>565</v>
      </c>
      <c r="C169" s="760" t="s">
        <v>565</v>
      </c>
      <c r="D169" s="30" t="s">
        <v>4354</v>
      </c>
      <c r="E169" s="925">
        <v>3</v>
      </c>
      <c r="F169" s="28">
        <v>2.09</v>
      </c>
    </row>
    <row r="170" spans="1:6" ht="49.500000">
      <c r="A170" s="4">
        <v>169</v>
      </c>
      <c r="B170" s="760" t="s">
        <v>302</v>
      </c>
      <c r="C170" s="760" t="s">
        <v>302</v>
      </c>
      <c r="D170" s="30" t="s">
        <v>303</v>
      </c>
      <c r="E170" s="925">
        <v>3</v>
      </c>
      <c r="F170" s="28">
        <v>2.07</v>
      </c>
    </row>
    <row r="171" spans="1:6" ht="49.500000">
      <c r="A171" s="4">
        <v>170</v>
      </c>
      <c r="B171" s="760" t="s">
        <v>365</v>
      </c>
      <c r="C171" s="760" t="s">
        <v>365</v>
      </c>
      <c r="D171" s="30" t="s">
        <v>366</v>
      </c>
      <c r="E171" s="925">
        <v>3</v>
      </c>
      <c r="F171" s="28">
        <v>2.06</v>
      </c>
    </row>
    <row r="172" spans="1:6" ht="49.500000">
      <c r="A172" s="4">
        <v>171</v>
      </c>
      <c r="B172" s="937" t="s">
        <v>906</v>
      </c>
      <c r="C172" s="935" t="s">
        <v>443</v>
      </c>
      <c r="D172" s="30" t="s">
        <v>444</v>
      </c>
      <c r="E172" s="925">
        <v>3</v>
      </c>
      <c r="F172" s="28">
        <v>2</v>
      </c>
    </row>
    <row r="173" spans="1:6" ht="33.000000">
      <c r="A173" s="4">
        <v>172</v>
      </c>
      <c r="B173" s="760" t="s">
        <v>64</v>
      </c>
      <c r="C173" s="760" t="s">
        <v>64</v>
      </c>
      <c r="D173" s="30" t="s">
        <v>771</v>
      </c>
      <c r="E173" s="925">
        <v>3</v>
      </c>
      <c r="F173" s="28">
        <v>1.99</v>
      </c>
    </row>
    <row r="174" spans="1:6" ht="17.250000">
      <c r="A174" s="4">
        <v>173</v>
      </c>
      <c r="B174" s="760" t="s">
        <v>453</v>
      </c>
      <c r="C174" s="760" t="s">
        <v>453</v>
      </c>
      <c r="D174" s="30" t="s">
        <v>454</v>
      </c>
      <c r="E174" s="925">
        <v>3</v>
      </c>
      <c r="F174" s="28">
        <v>1.99</v>
      </c>
    </row>
    <row r="175" spans="1:6" ht="49.500000">
      <c r="A175" s="4">
        <v>174</v>
      </c>
      <c r="B175" s="970" t="s">
        <v>564</v>
      </c>
      <c r="C175" s="975" t="s">
        <v>449</v>
      </c>
      <c r="D175" s="30" t="s">
        <v>450</v>
      </c>
      <c r="E175" s="925">
        <v>3</v>
      </c>
      <c r="F175" s="28">
        <v>1.98</v>
      </c>
    </row>
    <row r="176" spans="1:6" ht="33.000000">
      <c r="A176" s="4">
        <v>175</v>
      </c>
      <c r="B176" s="970" t="s">
        <v>43</v>
      </c>
      <c r="C176" s="975" t="s">
        <v>526</v>
      </c>
      <c r="D176" s="30" t="s">
        <v>527</v>
      </c>
      <c r="E176" s="925">
        <v>3</v>
      </c>
      <c r="F176" s="28">
        <v>1.96</v>
      </c>
    </row>
    <row r="177" spans="1:6" ht="49.500000">
      <c r="A177" s="4">
        <v>176</v>
      </c>
      <c r="B177" s="970" t="s">
        <v>905</v>
      </c>
      <c r="C177" s="975" t="s">
        <v>201</v>
      </c>
      <c r="D177" s="30" t="s">
        <v>202</v>
      </c>
      <c r="E177" s="925">
        <v>3</v>
      </c>
      <c r="F177" s="28">
        <v>1.95</v>
      </c>
    </row>
    <row r="178" spans="1:6" ht="66.000000">
      <c r="A178" s="4">
        <v>177</v>
      </c>
      <c r="B178" s="970" t="s">
        <v>344</v>
      </c>
      <c r="C178" s="975" t="s">
        <v>345</v>
      </c>
      <c r="D178" s="30" t="s">
        <v>346</v>
      </c>
      <c r="E178" s="925">
        <v>3</v>
      </c>
      <c r="F178" s="28">
        <v>1.91</v>
      </c>
    </row>
    <row r="179" spans="1:6" ht="33.000000">
      <c r="A179" s="4">
        <v>178</v>
      </c>
      <c r="B179" s="970" t="s">
        <v>976</v>
      </c>
      <c r="C179" s="971" t="s">
        <v>4478</v>
      </c>
      <c r="D179" s="30" t="s">
        <v>4479</v>
      </c>
      <c r="E179" s="925">
        <v>3</v>
      </c>
      <c r="F179" s="28">
        <v>1.9</v>
      </c>
    </row>
    <row r="180" spans="1:6" ht="17.250000">
      <c r="A180" s="4">
        <v>179</v>
      </c>
      <c r="B180" s="760" t="s">
        <v>232</v>
      </c>
      <c r="C180" s="760" t="s">
        <v>232</v>
      </c>
      <c r="D180" s="30" t="s">
        <v>234</v>
      </c>
      <c r="E180" s="925">
        <v>3</v>
      </c>
      <c r="F180" s="28">
        <v>1.87</v>
      </c>
    </row>
    <row r="181" spans="1:6" ht="49.500000">
      <c r="A181" s="4">
        <v>180</v>
      </c>
      <c r="B181" s="760" t="s">
        <v>776</v>
      </c>
      <c r="C181" s="760" t="s">
        <v>776</v>
      </c>
      <c r="D181" s="30" t="s">
        <v>777</v>
      </c>
      <c r="E181" s="925">
        <v>3</v>
      </c>
      <c r="F181" s="28">
        <v>1.83</v>
      </c>
    </row>
    <row r="182" spans="1:6" ht="82.500000">
      <c r="A182" s="4">
        <v>181</v>
      </c>
      <c r="B182" s="973" t="s">
        <v>273</v>
      </c>
      <c r="C182" s="975" t="s">
        <v>818</v>
      </c>
      <c r="D182" s="30" t="s">
        <v>4355</v>
      </c>
      <c r="E182" s="925">
        <v>3</v>
      </c>
      <c r="F182" s="28">
        <v>1.83</v>
      </c>
    </row>
    <row r="183" spans="1:6" ht="33.000000">
      <c r="A183" s="4">
        <v>182</v>
      </c>
      <c r="B183" s="970" t="s">
        <v>4288</v>
      </c>
      <c r="C183" s="970" t="s">
        <v>209</v>
      </c>
      <c r="D183" s="30" t="s">
        <v>294</v>
      </c>
      <c r="E183" s="925">
        <v>3</v>
      </c>
      <c r="F183" s="28">
        <v>1.81</v>
      </c>
    </row>
    <row r="184" spans="1:6" ht="49.500000">
      <c r="A184" s="4">
        <v>183</v>
      </c>
      <c r="B184" s="760" t="s">
        <v>637</v>
      </c>
      <c r="C184" s="760" t="s">
        <v>637</v>
      </c>
      <c r="D184" s="30" t="s">
        <v>638</v>
      </c>
      <c r="E184" s="925">
        <v>3</v>
      </c>
      <c r="F184" s="28">
        <v>1.8</v>
      </c>
    </row>
    <row r="185" spans="1:6" ht="49.500000">
      <c r="A185" s="4">
        <v>184</v>
      </c>
      <c r="B185" s="970" t="s">
        <v>3105</v>
      </c>
      <c r="C185" s="975" t="s">
        <v>801</v>
      </c>
      <c r="D185" s="30" t="s">
        <v>4356</v>
      </c>
      <c r="E185" s="925">
        <v>3</v>
      </c>
      <c r="F185" s="28">
        <v>1.8</v>
      </c>
    </row>
    <row r="186" spans="1:6" ht="49.500000">
      <c r="A186" s="4">
        <v>185</v>
      </c>
      <c r="B186" s="760" t="s">
        <v>178</v>
      </c>
      <c r="C186" s="760" t="s">
        <v>178</v>
      </c>
      <c r="D186" s="30" t="s">
        <v>893</v>
      </c>
      <c r="E186" s="925">
        <v>3</v>
      </c>
      <c r="F186" s="28">
        <v>1.78</v>
      </c>
    </row>
    <row r="187" spans="1:6" ht="33.000000">
      <c r="A187" s="4">
        <v>186</v>
      </c>
      <c r="B187" s="760" t="s">
        <v>10</v>
      </c>
      <c r="C187" s="760" t="s">
        <v>10</v>
      </c>
      <c r="D187" s="30" t="s">
        <v>1148</v>
      </c>
      <c r="E187" s="926">
        <v>4</v>
      </c>
      <c r="F187" s="28">
        <v>1.78</v>
      </c>
    </row>
    <row r="188" spans="1:6" ht="33.000000">
      <c r="A188" s="4">
        <v>187</v>
      </c>
      <c r="B188" s="937" t="s">
        <v>2614</v>
      </c>
      <c r="C188" s="935" t="s">
        <v>759</v>
      </c>
      <c r="D188" s="30" t="s">
        <v>760</v>
      </c>
      <c r="E188" s="926">
        <v>4</v>
      </c>
      <c r="F188" s="28">
        <v>1.76</v>
      </c>
    </row>
    <row r="189" spans="1:6" ht="49.500000">
      <c r="A189" s="4">
        <v>188</v>
      </c>
      <c r="B189" s="970" t="s">
        <v>1038</v>
      </c>
      <c r="C189" s="971" t="s">
        <v>4474</v>
      </c>
      <c r="D189" s="30" t="s">
        <v>4475</v>
      </c>
      <c r="E189" s="926">
        <v>4</v>
      </c>
      <c r="F189" s="28">
        <v>1.71</v>
      </c>
    </row>
    <row r="190" spans="1:6" ht="33.000000">
      <c r="A190" s="4">
        <v>189</v>
      </c>
      <c r="B190" s="937" t="s">
        <v>2615</v>
      </c>
      <c r="C190" s="935" t="s">
        <v>314</v>
      </c>
      <c r="D190" s="30" t="s">
        <v>315</v>
      </c>
      <c r="E190" s="926">
        <v>4</v>
      </c>
      <c r="F190" s="28">
        <v>1.71</v>
      </c>
    </row>
    <row r="191" spans="1:6" ht="33.000000">
      <c r="A191" s="4">
        <v>190</v>
      </c>
      <c r="B191" s="760" t="s">
        <v>876</v>
      </c>
      <c r="C191" s="760" t="s">
        <v>876</v>
      </c>
      <c r="D191" s="30" t="s">
        <v>886</v>
      </c>
      <c r="E191" s="926">
        <v>4</v>
      </c>
      <c r="F191" s="28">
        <v>1.65</v>
      </c>
    </row>
    <row r="192" spans="1:6" ht="33.000000">
      <c r="A192" s="4">
        <v>191</v>
      </c>
      <c r="B192" s="760" t="s">
        <v>661</v>
      </c>
      <c r="C192" s="760" t="s">
        <v>661</v>
      </c>
      <c r="D192" s="30" t="s">
        <v>662</v>
      </c>
      <c r="E192" s="926">
        <v>4</v>
      </c>
      <c r="F192" s="28">
        <v>1.64</v>
      </c>
    </row>
    <row r="193" spans="1:6" ht="33.000000">
      <c r="A193" s="4">
        <v>192</v>
      </c>
      <c r="B193" s="937" t="s">
        <v>1051</v>
      </c>
      <c r="C193" s="935" t="s">
        <v>633</v>
      </c>
      <c r="D193" s="30" t="s">
        <v>635</v>
      </c>
      <c r="E193" s="926">
        <v>4</v>
      </c>
      <c r="F193" s="28">
        <v>1.61</v>
      </c>
    </row>
    <row r="194" spans="1:6" ht="49.500000">
      <c r="A194" s="4">
        <v>193</v>
      </c>
      <c r="B194" s="760" t="s">
        <v>728</v>
      </c>
      <c r="C194" s="760" t="s">
        <v>728</v>
      </c>
      <c r="D194" s="30" t="s">
        <v>729</v>
      </c>
      <c r="E194" s="926">
        <v>4</v>
      </c>
      <c r="F194" s="28">
        <v>1.55</v>
      </c>
    </row>
    <row r="195" spans="1:6" ht="49.500000">
      <c r="A195" s="4">
        <v>194</v>
      </c>
      <c r="B195" s="760" t="s">
        <v>381</v>
      </c>
      <c r="C195" s="760" t="s">
        <v>381</v>
      </c>
      <c r="D195" s="30" t="s">
        <v>382</v>
      </c>
      <c r="E195" s="926">
        <v>4</v>
      </c>
      <c r="F195" s="28">
        <v>1.54</v>
      </c>
    </row>
    <row r="196" spans="1:6" ht="66.000000">
      <c r="A196" s="4">
        <v>195</v>
      </c>
      <c r="B196" s="937" t="s">
        <v>899</v>
      </c>
      <c r="C196" s="935" t="s">
        <v>532</v>
      </c>
      <c r="D196" s="30" t="s">
        <v>535</v>
      </c>
      <c r="E196" s="926">
        <v>4</v>
      </c>
      <c r="F196" s="28">
        <v>1.54</v>
      </c>
    </row>
    <row r="197" spans="1:6" ht="33.000000">
      <c r="A197" s="4">
        <v>196</v>
      </c>
      <c r="B197" s="760" t="s">
        <v>147</v>
      </c>
      <c r="C197" s="760" t="s">
        <v>147</v>
      </c>
      <c r="D197" s="30" t="s">
        <v>148</v>
      </c>
      <c r="E197" s="926">
        <v>4</v>
      </c>
      <c r="F197" s="28">
        <v>1.52</v>
      </c>
    </row>
    <row r="198" spans="1:6" ht="33.000000">
      <c r="A198" s="4">
        <v>197</v>
      </c>
      <c r="B198" s="937" t="s">
        <v>3595</v>
      </c>
      <c r="C198" s="935" t="s">
        <v>328</v>
      </c>
      <c r="D198" s="30" t="s">
        <v>329</v>
      </c>
      <c r="E198" s="926">
        <v>4</v>
      </c>
      <c r="F198" s="28">
        <v>1.52</v>
      </c>
    </row>
    <row r="199" spans="1:6" ht="33.000000">
      <c r="A199" s="4">
        <v>198</v>
      </c>
      <c r="B199" s="937" t="s">
        <v>907</v>
      </c>
      <c r="C199" s="935" t="s">
        <v>420</v>
      </c>
      <c r="D199" s="30" t="s">
        <v>421</v>
      </c>
      <c r="E199" s="926">
        <v>4</v>
      </c>
      <c r="F199" s="28">
        <v>1.51</v>
      </c>
    </row>
    <row r="200" spans="1:6" ht="17.250000">
      <c r="A200" s="4">
        <v>199</v>
      </c>
      <c r="B200" s="760" t="s">
        <v>42</v>
      </c>
      <c r="C200" s="760" t="s">
        <v>42</v>
      </c>
      <c r="D200" s="30" t="s">
        <v>931</v>
      </c>
      <c r="E200" s="926">
        <v>4</v>
      </c>
      <c r="F200" s="28">
        <v>1.49</v>
      </c>
    </row>
    <row r="201" spans="1:6" ht="49.500000">
      <c r="A201" s="4">
        <v>200</v>
      </c>
      <c r="B201" s="937" t="s">
        <v>898</v>
      </c>
      <c r="C201" s="935" t="s">
        <v>878</v>
      </c>
      <c r="D201" s="30" t="s">
        <v>888</v>
      </c>
      <c r="E201" s="926">
        <v>4</v>
      </c>
      <c r="F201" s="28">
        <v>1.49</v>
      </c>
    </row>
    <row r="202" spans="1:6" ht="66.000000">
      <c r="A202" s="4">
        <v>201</v>
      </c>
      <c r="B202" s="937" t="s">
        <v>2711</v>
      </c>
      <c r="C202" s="935" t="s">
        <v>799</v>
      </c>
      <c r="D202" s="30" t="s">
        <v>4358</v>
      </c>
      <c r="E202" s="926">
        <v>4</v>
      </c>
      <c r="F202" s="28">
        <v>1.48</v>
      </c>
    </row>
    <row r="203" spans="1:6" ht="33.000000">
      <c r="A203" s="4">
        <v>202</v>
      </c>
      <c r="B203" s="760" t="s">
        <v>74</v>
      </c>
      <c r="C203" s="760" t="s">
        <v>74</v>
      </c>
      <c r="D203" s="30" t="s">
        <v>523</v>
      </c>
      <c r="E203" s="926">
        <v>4</v>
      </c>
      <c r="F203" s="28">
        <v>1.48</v>
      </c>
    </row>
    <row r="204" spans="1:6" ht="49.500000">
      <c r="A204" s="4">
        <v>203</v>
      </c>
      <c r="B204" s="937" t="s">
        <v>2470</v>
      </c>
      <c r="C204" s="935" t="s">
        <v>877</v>
      </c>
      <c r="D204" s="30" t="s">
        <v>887</v>
      </c>
      <c r="E204" s="926">
        <v>4</v>
      </c>
      <c r="F204" s="28">
        <v>1.47</v>
      </c>
    </row>
    <row r="205" spans="1:6" ht="66.000000">
      <c r="A205" s="4">
        <v>204</v>
      </c>
      <c r="B205" s="760" t="s">
        <v>786</v>
      </c>
      <c r="C205" s="760" t="s">
        <v>786</v>
      </c>
      <c r="D205" s="30" t="s">
        <v>4359</v>
      </c>
      <c r="E205" s="926">
        <v>4</v>
      </c>
      <c r="F205" s="28">
        <v>1.47</v>
      </c>
    </row>
    <row r="206" spans="1:6" ht="17.250000">
      <c r="A206" s="4">
        <v>205</v>
      </c>
      <c r="B206" s="970" t="s">
        <v>3376</v>
      </c>
      <c r="C206" s="971" t="s">
        <v>4007</v>
      </c>
      <c r="D206" s="30" t="s">
        <v>3205</v>
      </c>
      <c r="E206" s="926">
        <v>4</v>
      </c>
      <c r="F206" s="28">
        <v>1.4</v>
      </c>
    </row>
    <row r="207" spans="1:6" ht="33.000000">
      <c r="A207" s="4">
        <v>206</v>
      </c>
      <c r="B207" s="760" t="s">
        <v>282</v>
      </c>
      <c r="C207" s="760" t="s">
        <v>282</v>
      </c>
      <c r="D207" s="30" t="s">
        <v>283</v>
      </c>
      <c r="E207" s="926">
        <v>4</v>
      </c>
      <c r="F207" s="28">
        <v>1.35</v>
      </c>
    </row>
    <row r="208" spans="1:6" ht="33.000000">
      <c r="A208" s="4">
        <v>207</v>
      </c>
      <c r="B208" s="760" t="s">
        <v>280</v>
      </c>
      <c r="C208" s="760" t="s">
        <v>280</v>
      </c>
      <c r="D208" s="30" t="s">
        <v>281</v>
      </c>
      <c r="E208" s="926">
        <v>4</v>
      </c>
      <c r="F208" s="28">
        <v>1.35</v>
      </c>
    </row>
    <row r="209" spans="1:6" ht="49.500000">
      <c r="A209" s="4">
        <v>208</v>
      </c>
      <c r="B209" s="937" t="s">
        <v>552</v>
      </c>
      <c r="C209" s="937" t="s">
        <v>471</v>
      </c>
      <c r="D209" s="30" t="s">
        <v>472</v>
      </c>
      <c r="E209" s="926">
        <v>4</v>
      </c>
      <c r="F209" s="28">
        <v>1.33</v>
      </c>
    </row>
    <row r="210" spans="1:6" ht="33.000000">
      <c r="A210" s="4">
        <v>209</v>
      </c>
      <c r="B210" s="937" t="s">
        <v>1047</v>
      </c>
      <c r="C210" s="935" t="s">
        <v>680</v>
      </c>
      <c r="D210" s="30" t="s">
        <v>2733</v>
      </c>
      <c r="E210" s="926">
        <v>4</v>
      </c>
      <c r="F210" s="28">
        <v>1.29</v>
      </c>
    </row>
    <row r="211" spans="1:6" ht="33.000000">
      <c r="A211" s="4">
        <v>210</v>
      </c>
      <c r="B211" s="760" t="s">
        <v>367</v>
      </c>
      <c r="C211" s="760" t="s">
        <v>367</v>
      </c>
      <c r="D211" s="30" t="s">
        <v>368</v>
      </c>
      <c r="E211" s="926">
        <v>4</v>
      </c>
      <c r="F211" s="28">
        <v>1.27</v>
      </c>
    </row>
    <row r="212" spans="1:6" ht="33.000000">
      <c r="A212" s="4">
        <v>211</v>
      </c>
      <c r="B212" s="760" t="s">
        <v>670</v>
      </c>
      <c r="C212" s="760" t="s">
        <v>670</v>
      </c>
      <c r="D212" s="30" t="s">
        <v>671</v>
      </c>
      <c r="E212" s="926">
        <v>4</v>
      </c>
      <c r="F212" s="28">
        <v>1.27</v>
      </c>
    </row>
    <row r="213" spans="1:6" ht="33.000000">
      <c r="A213" s="4">
        <v>212</v>
      </c>
      <c r="B213" s="760" t="s">
        <v>167</v>
      </c>
      <c r="C213" s="760" t="s">
        <v>167</v>
      </c>
      <c r="D213" s="30" t="s">
        <v>584</v>
      </c>
      <c r="E213" s="926">
        <v>4</v>
      </c>
      <c r="F213" s="28">
        <v>1.26</v>
      </c>
    </row>
    <row r="214" spans="1:6" ht="33.000000">
      <c r="A214" s="4">
        <v>213</v>
      </c>
      <c r="B214" s="760" t="s">
        <v>538</v>
      </c>
      <c r="C214" s="760" t="s">
        <v>538</v>
      </c>
      <c r="D214" s="30" t="s">
        <v>539</v>
      </c>
      <c r="E214" s="926">
        <v>4</v>
      </c>
      <c r="F214" s="28">
        <v>1.25</v>
      </c>
    </row>
    <row r="215" spans="1:6" ht="49.500000">
      <c r="A215" s="4">
        <v>214</v>
      </c>
      <c r="B215" s="937" t="s">
        <v>2616</v>
      </c>
      <c r="C215" s="935" t="s">
        <v>331</v>
      </c>
      <c r="D215" s="30" t="s">
        <v>332</v>
      </c>
      <c r="E215" s="926">
        <v>4</v>
      </c>
      <c r="F215" s="28">
        <v>1.24</v>
      </c>
    </row>
    <row r="216" spans="1:6" ht="49.500000">
      <c r="A216" s="4">
        <v>215</v>
      </c>
      <c r="B216" s="937" t="s">
        <v>37</v>
      </c>
      <c r="C216" s="935" t="s">
        <v>684</v>
      </c>
      <c r="D216" s="30" t="s">
        <v>685</v>
      </c>
      <c r="E216" s="926">
        <v>4</v>
      </c>
      <c r="F216" s="28">
        <v>1.23</v>
      </c>
    </row>
    <row r="217" spans="1:6" ht="33.000000">
      <c r="A217" s="4">
        <v>216</v>
      </c>
      <c r="B217" s="760" t="s">
        <v>251</v>
      </c>
      <c r="C217" s="760" t="s">
        <v>251</v>
      </c>
      <c r="D217" s="30" t="s">
        <v>252</v>
      </c>
      <c r="E217" s="926">
        <v>4</v>
      </c>
      <c r="F217" s="28">
        <v>1.23</v>
      </c>
    </row>
    <row r="218" spans="1:6" ht="33.000000">
      <c r="A218" s="4">
        <v>217</v>
      </c>
      <c r="B218" s="937" t="s">
        <v>587</v>
      </c>
      <c r="C218" s="935" t="s">
        <v>651</v>
      </c>
      <c r="D218" s="30" t="s">
        <v>940</v>
      </c>
      <c r="E218" s="926">
        <v>4</v>
      </c>
      <c r="F218" s="28">
        <v>1.2</v>
      </c>
    </row>
    <row r="219" spans="1:6" ht="33.000000">
      <c r="A219" s="4">
        <v>218</v>
      </c>
      <c r="B219" s="760" t="s">
        <v>719</v>
      </c>
      <c r="C219" s="760" t="s">
        <v>719</v>
      </c>
      <c r="D219" s="30" t="s">
        <v>720</v>
      </c>
      <c r="E219" s="926">
        <v>4</v>
      </c>
      <c r="F219" s="28">
        <v>1.2</v>
      </c>
    </row>
    <row r="220" spans="1:6" ht="33.000000">
      <c r="A220" s="4">
        <v>219</v>
      </c>
      <c r="B220" s="760" t="s">
        <v>791</v>
      </c>
      <c r="C220" s="760" t="s">
        <v>791</v>
      </c>
      <c r="D220" s="30" t="s">
        <v>792</v>
      </c>
      <c r="E220" s="926">
        <v>4</v>
      </c>
      <c r="F220" s="28">
        <v>1.15</v>
      </c>
    </row>
    <row r="221" spans="1:6" ht="33.000000">
      <c r="A221" s="4">
        <v>220</v>
      </c>
      <c r="B221" s="760" t="s">
        <v>780</v>
      </c>
      <c r="C221" s="760" t="s">
        <v>780</v>
      </c>
      <c r="D221" s="30" t="s">
        <v>4360</v>
      </c>
      <c r="E221" s="926">
        <v>4</v>
      </c>
      <c r="F221" s="28">
        <v>1.15</v>
      </c>
    </row>
    <row r="222" spans="1:6" ht="33.000000">
      <c r="A222" s="4">
        <v>221</v>
      </c>
      <c r="B222" s="760" t="s">
        <v>441</v>
      </c>
      <c r="C222" s="760" t="s">
        <v>441</v>
      </c>
      <c r="D222" s="30" t="s">
        <v>442</v>
      </c>
      <c r="E222" s="926">
        <v>4</v>
      </c>
      <c r="F222" s="28">
        <v>1.08</v>
      </c>
    </row>
    <row r="223" spans="1:6" ht="33.000000">
      <c r="A223" s="4">
        <v>222</v>
      </c>
      <c r="B223" s="760" t="s">
        <v>432</v>
      </c>
      <c r="C223" s="760" t="s">
        <v>432</v>
      </c>
      <c r="D223" s="30" t="s">
        <v>433</v>
      </c>
      <c r="E223" s="926">
        <v>4</v>
      </c>
      <c r="F223" s="28">
        <v>1.08</v>
      </c>
    </row>
    <row r="224" spans="1:6" ht="17.250000">
      <c r="A224" s="4">
        <v>223</v>
      </c>
      <c r="B224" s="760" t="s">
        <v>156</v>
      </c>
      <c r="C224" s="760" t="s">
        <v>156</v>
      </c>
      <c r="D224" s="30" t="s">
        <v>157</v>
      </c>
      <c r="E224" s="926">
        <v>4</v>
      </c>
      <c r="F224" s="28">
        <v>1.07</v>
      </c>
    </row>
    <row r="225" spans="1:6" ht="49.500000">
      <c r="A225" s="4">
        <v>224</v>
      </c>
      <c r="B225" s="760" t="s">
        <v>843</v>
      </c>
      <c r="C225" s="760" t="s">
        <v>843</v>
      </c>
      <c r="D225" s="30" t="s">
        <v>844</v>
      </c>
      <c r="E225" s="926">
        <v>4</v>
      </c>
      <c r="F225" s="28">
        <v>1.05</v>
      </c>
    </row>
    <row r="226" spans="1:6" ht="33.000000">
      <c r="A226" s="4">
        <v>225</v>
      </c>
      <c r="B226" s="937" t="s">
        <v>1049</v>
      </c>
      <c r="C226" s="935" t="s">
        <v>871</v>
      </c>
      <c r="D226" s="30" t="s">
        <v>879</v>
      </c>
      <c r="E226" s="926">
        <v>4</v>
      </c>
      <c r="F226" s="28">
        <v>1.04</v>
      </c>
    </row>
    <row r="227" spans="1:6" ht="33.000000">
      <c r="A227" s="4">
        <v>226</v>
      </c>
      <c r="B227" s="760" t="s">
        <v>375</v>
      </c>
      <c r="C227" s="760" t="s">
        <v>375</v>
      </c>
      <c r="D227" s="30" t="s">
        <v>377</v>
      </c>
      <c r="E227" s="926">
        <v>4</v>
      </c>
      <c r="F227" s="28">
        <v>1.03</v>
      </c>
    </row>
    <row r="228" spans="1:6" ht="33.000000">
      <c r="A228" s="4">
        <v>227</v>
      </c>
      <c r="B228" s="760" t="s">
        <v>306</v>
      </c>
      <c r="C228" s="760" t="s">
        <v>306</v>
      </c>
      <c r="D228" s="30" t="s">
        <v>307</v>
      </c>
      <c r="E228" s="926">
        <v>4</v>
      </c>
      <c r="F228" s="28">
        <v>1.02</v>
      </c>
    </row>
    <row r="229" spans="1:6" ht="33.000000">
      <c r="A229" s="4">
        <v>228</v>
      </c>
      <c r="B229" s="970" t="s">
        <v>590</v>
      </c>
      <c r="C229" s="971" t="s">
        <v>4472</v>
      </c>
      <c r="D229" s="30" t="s">
        <v>934</v>
      </c>
      <c r="E229" s="926">
        <v>4</v>
      </c>
      <c r="F229" s="28">
        <v>1.02</v>
      </c>
    </row>
    <row r="230" spans="1:6" ht="33.000000">
      <c r="A230" s="4">
        <v>229</v>
      </c>
      <c r="B230" s="760" t="s">
        <v>488</v>
      </c>
      <c r="C230" s="760" t="s">
        <v>488</v>
      </c>
      <c r="D230" s="30" t="s">
        <v>897</v>
      </c>
      <c r="E230" s="926">
        <v>4</v>
      </c>
      <c r="F230" s="28">
        <v>0.99</v>
      </c>
    </row>
    <row r="231" spans="1:6" ht="33.000000">
      <c r="A231" s="4">
        <v>230</v>
      </c>
      <c r="B231" s="970" t="s">
        <v>936</v>
      </c>
      <c r="C231" s="971" t="s">
        <v>4459</v>
      </c>
      <c r="D231" s="30" t="s">
        <v>4466</v>
      </c>
      <c r="E231" s="926">
        <v>4</v>
      </c>
      <c r="F231" s="28">
        <v>0.96</v>
      </c>
    </row>
    <row r="232" spans="1:6" ht="49.500000">
      <c r="A232" s="4">
        <v>231</v>
      </c>
      <c r="B232" s="760" t="s">
        <v>168</v>
      </c>
      <c r="C232" s="760" t="s">
        <v>168</v>
      </c>
      <c r="D232" s="30" t="s">
        <v>297</v>
      </c>
      <c r="E232" s="926">
        <v>4</v>
      </c>
      <c r="F232" s="28">
        <v>0.96</v>
      </c>
    </row>
    <row r="233" spans="1:6" ht="33.000000">
      <c r="A233" s="4">
        <v>232</v>
      </c>
      <c r="B233" s="760" t="s">
        <v>394</v>
      </c>
      <c r="C233" s="760" t="s">
        <v>394</v>
      </c>
      <c r="D233" s="30" t="s">
        <v>425</v>
      </c>
      <c r="E233" s="926">
        <v>4</v>
      </c>
      <c r="F233" s="28">
        <v>0.94</v>
      </c>
    </row>
    <row r="234" spans="1:6" ht="33.000000">
      <c r="A234" s="4">
        <v>233</v>
      </c>
      <c r="B234" s="760" t="s">
        <v>542</v>
      </c>
      <c r="C234" s="760" t="s">
        <v>542</v>
      </c>
      <c r="D234" s="30" t="s">
        <v>543</v>
      </c>
      <c r="E234" s="926">
        <v>4</v>
      </c>
      <c r="F234" s="28">
        <v>0.93</v>
      </c>
    </row>
    <row r="235" spans="1:6" ht="33.000000">
      <c r="A235" s="4">
        <v>234</v>
      </c>
      <c r="B235" s="760" t="s">
        <v>39</v>
      </c>
      <c r="C235" s="760" t="s">
        <v>39</v>
      </c>
      <c r="D235" s="30" t="s">
        <v>412</v>
      </c>
      <c r="E235" s="926">
        <v>4</v>
      </c>
      <c r="F235" s="28">
        <v>0.93</v>
      </c>
    </row>
    <row r="236" spans="1:6" ht="49.500000">
      <c r="A236" s="4">
        <v>235</v>
      </c>
      <c r="B236" s="937" t="s">
        <v>1046</v>
      </c>
      <c r="C236" s="935" t="s">
        <v>468</v>
      </c>
      <c r="D236" s="30" t="s">
        <v>469</v>
      </c>
      <c r="E236" s="926">
        <v>4</v>
      </c>
      <c r="F236" s="28">
        <v>0.88</v>
      </c>
    </row>
    <row r="237" spans="1:6" ht="33.000000">
      <c r="A237" s="4">
        <v>236</v>
      </c>
      <c r="B237" s="760" t="s">
        <v>140</v>
      </c>
      <c r="C237" s="760" t="s">
        <v>140</v>
      </c>
      <c r="D237" s="30" t="s">
        <v>142</v>
      </c>
      <c r="E237" s="926">
        <v>4</v>
      </c>
      <c r="F237" s="28">
        <v>0.84</v>
      </c>
    </row>
    <row r="238" spans="1:6" ht="49.500000">
      <c r="A238" s="4">
        <v>237</v>
      </c>
      <c r="B238" s="760" t="s">
        <v>47</v>
      </c>
      <c r="C238" s="760" t="s">
        <v>47</v>
      </c>
      <c r="D238" s="30" t="s">
        <v>258</v>
      </c>
      <c r="E238" s="926">
        <v>4</v>
      </c>
      <c r="F238" s="28">
        <v>0.82</v>
      </c>
    </row>
    <row r="239" spans="1:6" ht="49.500000">
      <c r="A239" s="4">
        <v>238</v>
      </c>
      <c r="B239" s="760" t="s">
        <v>410</v>
      </c>
      <c r="C239" s="760" t="s">
        <v>410</v>
      </c>
      <c r="D239" s="30" t="s">
        <v>411</v>
      </c>
      <c r="E239" s="926">
        <v>4</v>
      </c>
      <c r="F239" s="28">
        <v>0.82</v>
      </c>
    </row>
    <row r="240" spans="1:6" ht="49.500000">
      <c r="A240" s="4">
        <v>239</v>
      </c>
      <c r="B240" s="937" t="s">
        <v>2725</v>
      </c>
      <c r="C240" s="935" t="s">
        <v>430</v>
      </c>
      <c r="D240" s="30" t="s">
        <v>431</v>
      </c>
      <c r="E240" s="927">
        <v>5</v>
      </c>
      <c r="F240" s="28">
        <v>0.78</v>
      </c>
    </row>
    <row r="241" spans="1:6" ht="33.000000">
      <c r="A241" s="4">
        <v>240</v>
      </c>
      <c r="B241" s="937" t="s">
        <v>40</v>
      </c>
      <c r="C241" s="935" t="s">
        <v>313</v>
      </c>
      <c r="D241" s="30" t="s">
        <v>312</v>
      </c>
      <c r="E241" s="927">
        <v>5</v>
      </c>
      <c r="F241" s="28">
        <v>0.77</v>
      </c>
    </row>
    <row r="242" spans="1:6" ht="51.400000" customHeight="1">
      <c r="A242" s="4">
        <v>241</v>
      </c>
      <c r="B242" s="937" t="s">
        <v>3877</v>
      </c>
      <c r="C242" s="935" t="s">
        <v>778</v>
      </c>
      <c r="D242" s="30" t="s">
        <v>4361</v>
      </c>
      <c r="E242" s="927">
        <v>5</v>
      </c>
      <c r="F242" s="28">
        <v>0.77</v>
      </c>
    </row>
    <row r="243" spans="1:6" ht="33.000000">
      <c r="A243" s="4">
        <v>242</v>
      </c>
      <c r="B243" s="760" t="s">
        <v>1094</v>
      </c>
      <c r="C243" s="760" t="s">
        <v>1094</v>
      </c>
      <c r="D243" s="30" t="s">
        <v>1190</v>
      </c>
      <c r="E243" s="927">
        <v>5</v>
      </c>
      <c r="F243" s="28">
        <v>0.72</v>
      </c>
    </row>
    <row r="244" spans="1:6" ht="33.000000">
      <c r="A244" s="4">
        <v>243</v>
      </c>
      <c r="B244" s="760" t="s">
        <v>8</v>
      </c>
      <c r="C244" s="760" t="s">
        <v>8</v>
      </c>
      <c r="D244" s="30" t="s">
        <v>739</v>
      </c>
      <c r="E244" s="927">
        <v>5</v>
      </c>
      <c r="F244" s="28">
        <v>0.69</v>
      </c>
    </row>
    <row r="245" spans="1:6" ht="49.500000">
      <c r="A245" s="4">
        <v>244</v>
      </c>
      <c r="B245" s="760" t="s">
        <v>176</v>
      </c>
      <c r="C245" s="760" t="s">
        <v>176</v>
      </c>
      <c r="D245" s="30" t="s">
        <v>242</v>
      </c>
      <c r="E245" s="927">
        <v>5</v>
      </c>
      <c r="F245" s="28">
        <v>0.69</v>
      </c>
    </row>
    <row r="246" spans="1:6" ht="33.000000">
      <c r="A246" s="4">
        <v>245</v>
      </c>
      <c r="B246" s="760" t="s">
        <v>855</v>
      </c>
      <c r="C246" s="760" t="s">
        <v>855</v>
      </c>
      <c r="D246" s="30" t="s">
        <v>856</v>
      </c>
      <c r="E246" s="927">
        <v>5</v>
      </c>
      <c r="F246" s="28">
        <v>0.65</v>
      </c>
    </row>
    <row r="247" spans="1:6" ht="49.500000">
      <c r="A247" s="4">
        <v>246</v>
      </c>
      <c r="B247" s="760" t="s">
        <v>350</v>
      </c>
      <c r="C247" s="760" t="s">
        <v>350</v>
      </c>
      <c r="D247" s="30" t="s">
        <v>470</v>
      </c>
      <c r="E247" s="927">
        <v>5</v>
      </c>
      <c r="F247" s="28">
        <v>0.59</v>
      </c>
    </row>
    <row r="248" spans="1:6" ht="33.000000">
      <c r="A248" s="4">
        <v>247</v>
      </c>
      <c r="B248" s="936" t="s">
        <v>334</v>
      </c>
      <c r="C248" s="935" t="s">
        <v>348</v>
      </c>
      <c r="D248" s="30" t="s">
        <v>349</v>
      </c>
      <c r="E248" s="927">
        <v>5</v>
      </c>
      <c r="F248" s="28">
        <v>0.58</v>
      </c>
    </row>
    <row r="249" spans="1:6" ht="33.000000">
      <c r="A249" s="4">
        <v>248</v>
      </c>
      <c r="B249" s="760" t="s">
        <v>203</v>
      </c>
      <c r="C249" s="760" t="s">
        <v>203</v>
      </c>
      <c r="D249" s="30" t="s">
        <v>204</v>
      </c>
      <c r="E249" s="927">
        <v>5</v>
      </c>
      <c r="F249" s="28">
        <v>0.57</v>
      </c>
    </row>
    <row r="250" spans="1:6" ht="49.500000">
      <c r="A250" s="4">
        <v>249</v>
      </c>
      <c r="B250" s="760" t="s">
        <v>511</v>
      </c>
      <c r="C250" s="760" t="s">
        <v>511</v>
      </c>
      <c r="D250" s="30" t="s">
        <v>659</v>
      </c>
      <c r="E250" s="927">
        <v>5</v>
      </c>
      <c r="F250" s="28">
        <v>0.57</v>
      </c>
    </row>
    <row r="251" spans="1:6" ht="33.000000">
      <c r="A251" s="4">
        <v>250</v>
      </c>
      <c r="B251" s="760" t="s">
        <v>270</v>
      </c>
      <c r="C251" s="760" t="s">
        <v>270</v>
      </c>
      <c r="D251" s="30" t="s">
        <v>881</v>
      </c>
      <c r="E251" s="927">
        <v>5</v>
      </c>
      <c r="F251" s="28">
        <v>0.54</v>
      </c>
    </row>
    <row r="252" spans="1:6" ht="33.000000">
      <c r="A252" s="4">
        <v>251</v>
      </c>
      <c r="B252" s="760" t="s">
        <v>823</v>
      </c>
      <c r="C252" s="760" t="s">
        <v>823</v>
      </c>
      <c r="D252" s="30" t="s">
        <v>824</v>
      </c>
      <c r="E252" s="927">
        <v>5</v>
      </c>
      <c r="F252" s="28">
        <v>0.49</v>
      </c>
    </row>
    <row r="253" spans="1:6" ht="33.000000">
      <c r="A253" s="4">
        <v>252</v>
      </c>
      <c r="B253" s="760" t="s">
        <v>624</v>
      </c>
      <c r="C253" s="760" t="s">
        <v>624</v>
      </c>
      <c r="D253" s="30" t="s">
        <v>625</v>
      </c>
      <c r="E253" s="927">
        <v>5</v>
      </c>
      <c r="F253" s="28">
        <v>0.44</v>
      </c>
    </row>
    <row r="254" spans="1:6" ht="33.000000">
      <c r="A254" s="4">
        <v>253</v>
      </c>
      <c r="B254" s="970" t="s">
        <v>5</v>
      </c>
      <c r="C254" s="971" t="s">
        <v>4467</v>
      </c>
      <c r="D254" s="30" t="s">
        <v>911</v>
      </c>
      <c r="E254" s="927">
        <v>5</v>
      </c>
      <c r="F254" s="28">
        <v>0.42</v>
      </c>
    </row>
    <row r="255" spans="1:6" ht="33.000000">
      <c r="A255" s="4">
        <v>254</v>
      </c>
      <c r="B255" s="937" t="s">
        <v>1050</v>
      </c>
      <c r="C255" s="935" t="s">
        <v>445</v>
      </c>
      <c r="D255" s="30" t="s">
        <v>446</v>
      </c>
      <c r="E255" s="927">
        <v>5</v>
      </c>
      <c r="F255" s="28">
        <v>0.4</v>
      </c>
    </row>
    <row r="256" spans="1:6" ht="33.000000">
      <c r="A256" s="4">
        <v>255</v>
      </c>
      <c r="B256" s="970" t="s">
        <v>989</v>
      </c>
      <c r="C256" s="971" t="s">
        <v>4460</v>
      </c>
      <c r="D256" s="30" t="s">
        <v>991</v>
      </c>
      <c r="E256" s="927">
        <v>5</v>
      </c>
      <c r="F256" s="28">
        <v>0.37</v>
      </c>
    </row>
    <row r="257" spans="1:6" ht="66.000000">
      <c r="A257" s="4">
        <v>256</v>
      </c>
      <c r="B257" s="937" t="s">
        <v>2468</v>
      </c>
      <c r="C257" s="935" t="s">
        <v>782</v>
      </c>
      <c r="D257" s="30" t="s">
        <v>4362</v>
      </c>
      <c r="E257" s="927">
        <v>5</v>
      </c>
      <c r="F257" s="28">
        <v>0.33</v>
      </c>
    </row>
    <row r="258" spans="1:6" ht="49.500000">
      <c r="A258" s="4">
        <v>257</v>
      </c>
      <c r="B258" s="937" t="s">
        <v>1114</v>
      </c>
      <c r="C258" s="935" t="s">
        <v>744</v>
      </c>
      <c r="D258" s="30" t="s">
        <v>745</v>
      </c>
      <c r="E258" s="927">
        <v>5</v>
      </c>
      <c r="F258" s="28">
        <v>0.26</v>
      </c>
    </row>
    <row r="259" spans="1:6" ht="33.000000">
      <c r="A259" s="4">
        <v>258</v>
      </c>
      <c r="B259" s="760" t="s">
        <v>872</v>
      </c>
      <c r="C259" s="760" t="s">
        <v>872</v>
      </c>
      <c r="D259" s="30" t="s">
        <v>880</v>
      </c>
      <c r="E259" s="927">
        <v>5</v>
      </c>
      <c r="F259" s="28">
        <v>0.21</v>
      </c>
    </row>
    <row r="260" spans="1:6" ht="66.000000">
      <c r="A260" s="4">
        <v>259</v>
      </c>
      <c r="B260" s="760" t="s">
        <v>228</v>
      </c>
      <c r="C260" s="760" t="s">
        <v>228</v>
      </c>
      <c r="D260" s="30" t="s">
        <v>229</v>
      </c>
      <c r="E260" s="927">
        <v>5</v>
      </c>
      <c r="F260" s="28">
        <v>0.2</v>
      </c>
    </row>
    <row r="261" spans="1:6" ht="49.500000">
      <c r="A261" s="4">
        <v>260</v>
      </c>
      <c r="B261" s="937" t="s">
        <v>2473</v>
      </c>
      <c r="C261" s="935" t="s">
        <v>716</v>
      </c>
      <c r="D261" s="30" t="s">
        <v>1143</v>
      </c>
      <c r="E261" s="927">
        <v>5</v>
      </c>
      <c r="F261" s="28">
        <v>0.17</v>
      </c>
    </row>
    <row r="262" spans="1:6" ht="33.000000">
      <c r="A262" s="4">
        <v>261</v>
      </c>
      <c r="B262" s="760" t="s">
        <v>1112</v>
      </c>
      <c r="C262" s="29" t="s">
        <v>393</v>
      </c>
      <c r="D262" s="30" t="s">
        <v>946</v>
      </c>
      <c r="E262" s="927">
        <v>5</v>
      </c>
      <c r="F262" s="28">
        <v>0.14</v>
      </c>
    </row>
    <row r="263" spans="1:6" ht="33.000000">
      <c r="A263" s="4">
        <v>262</v>
      </c>
      <c r="B263" s="760" t="s">
        <v>678</v>
      </c>
      <c r="C263" s="760" t="s">
        <v>678</v>
      </c>
      <c r="D263" s="30" t="s">
        <v>679</v>
      </c>
      <c r="E263" s="927">
        <v>5</v>
      </c>
      <c r="F263" s="28">
        <v>0.13</v>
      </c>
    </row>
    <row r="264" spans="1:6" ht="33.000000">
      <c r="A264" s="4">
        <v>263</v>
      </c>
      <c r="B264" s="760" t="s">
        <v>224</v>
      </c>
      <c r="C264" s="760" t="s">
        <v>224</v>
      </c>
      <c r="D264" s="30" t="s">
        <v>225</v>
      </c>
      <c r="E264" s="927">
        <v>5</v>
      </c>
      <c r="F264" s="28">
        <v>0.12</v>
      </c>
    </row>
    <row r="265" spans="1:6" ht="33.000000">
      <c r="A265" s="4">
        <v>264</v>
      </c>
      <c r="B265" s="970" t="s">
        <v>913</v>
      </c>
      <c r="C265" s="971" t="s">
        <v>4470</v>
      </c>
      <c r="D265" s="30" t="s">
        <v>4471</v>
      </c>
      <c r="E265" s="927">
        <v>5</v>
      </c>
      <c r="F265" s="28">
        <v>0.1</v>
      </c>
    </row>
    <row r="266" spans="1:6" ht="33.000000">
      <c r="A266" s="4">
        <v>265</v>
      </c>
      <c r="B266" s="760" t="s">
        <v>645</v>
      </c>
      <c r="C266" s="760" t="s">
        <v>645</v>
      </c>
      <c r="D266" s="30" t="s">
        <v>646</v>
      </c>
      <c r="E266" s="927">
        <v>5</v>
      </c>
      <c r="F266" s="28">
        <v>0</v>
      </c>
    </row>
    <row r="267" spans="1:6" ht="33.000000">
      <c r="A267" s="4">
        <v>266</v>
      </c>
      <c r="B267" s="760" t="s">
        <v>256</v>
      </c>
      <c r="C267" s="760" t="s">
        <v>256</v>
      </c>
      <c r="D267" s="30" t="s">
        <v>257</v>
      </c>
      <c r="E267" s="139" t="s">
        <v>4197</v>
      </c>
      <c r="F267" s="928"/>
    </row>
    <row r="268" spans="1:6" ht="49.500000">
      <c r="A268" s="4">
        <v>267</v>
      </c>
      <c r="B268" s="760" t="s">
        <v>869</v>
      </c>
      <c r="C268" s="760" t="s">
        <v>869</v>
      </c>
      <c r="D268" s="30" t="s">
        <v>870</v>
      </c>
      <c r="E268" s="139" t="s">
        <v>4197</v>
      </c>
      <c r="F268" s="57"/>
    </row>
    <row r="269" spans="1:6" ht="33.000000">
      <c r="A269" s="4">
        <v>268</v>
      </c>
      <c r="B269" s="760" t="s">
        <v>628</v>
      </c>
      <c r="C269" s="760" t="s">
        <v>628</v>
      </c>
      <c r="D269" s="30" t="s">
        <v>629</v>
      </c>
      <c r="E269" s="139" t="s">
        <v>4197</v>
      </c>
      <c r="F269" s="57"/>
    </row>
    <row r="270" spans="1:6" ht="33.000000">
      <c r="A270" s="4">
        <v>269</v>
      </c>
      <c r="B270" s="760" t="s">
        <v>737</v>
      </c>
      <c r="C270" s="760" t="s">
        <v>737</v>
      </c>
      <c r="D270" s="30" t="s">
        <v>738</v>
      </c>
      <c r="E270" s="139" t="s">
        <v>4197</v>
      </c>
      <c r="F270" s="57"/>
    </row>
    <row r="271" spans="1:6" ht="49.500000">
      <c r="A271" s="4">
        <v>270</v>
      </c>
      <c r="B271" s="760" t="s">
        <v>436</v>
      </c>
      <c r="C271" s="760" t="s">
        <v>436</v>
      </c>
      <c r="D271" s="30" t="s">
        <v>437</v>
      </c>
      <c r="E271" s="139" t="s">
        <v>4197</v>
      </c>
      <c r="F271" s="57"/>
    </row>
    <row r="272" spans="1:6" ht="49.500000">
      <c r="A272" s="4">
        <v>271</v>
      </c>
      <c r="B272" s="760" t="s">
        <v>300</v>
      </c>
      <c r="C272" s="760" t="s">
        <v>300</v>
      </c>
      <c r="D272" s="30" t="s">
        <v>301</v>
      </c>
      <c r="E272" s="139" t="s">
        <v>4197</v>
      </c>
      <c r="F272" s="57"/>
    </row>
    <row r="273" spans="1:6" ht="49.500000">
      <c r="A273" s="4">
        <v>272</v>
      </c>
      <c r="B273" s="760" t="s">
        <v>767</v>
      </c>
      <c r="C273" s="760" t="s">
        <v>767</v>
      </c>
      <c r="D273" s="30" t="s">
        <v>768</v>
      </c>
      <c r="E273" s="139" t="s">
        <v>4197</v>
      </c>
      <c r="F273" s="57"/>
    </row>
    <row r="274" spans="1:6" ht="49.500000">
      <c r="A274" s="4">
        <v>273</v>
      </c>
      <c r="B274" s="760" t="s">
        <v>816</v>
      </c>
      <c r="C274" s="760" t="s">
        <v>816</v>
      </c>
      <c r="D274" s="30" t="s">
        <v>4363</v>
      </c>
      <c r="E274" s="139" t="s">
        <v>4197</v>
      </c>
      <c r="F274" s="57"/>
    </row>
    <row r="275" spans="1:6" ht="49.500000">
      <c r="A275" s="4">
        <v>274</v>
      </c>
      <c r="B275" s="760" t="s">
        <v>761</v>
      </c>
      <c r="C275" s="760" t="s">
        <v>761</v>
      </c>
      <c r="D275" s="30" t="s">
        <v>762</v>
      </c>
      <c r="E275" s="139" t="s">
        <v>4197</v>
      </c>
      <c r="F275" s="57"/>
    </row>
    <row r="276" spans="1:6" ht="49.500000">
      <c r="A276" s="4">
        <v>275</v>
      </c>
      <c r="B276" s="760" t="s">
        <v>457</v>
      </c>
      <c r="C276" s="760" t="s">
        <v>457</v>
      </c>
      <c r="D276" s="30" t="s">
        <v>458</v>
      </c>
      <c r="E276" s="139" t="s">
        <v>4197</v>
      </c>
      <c r="F276" s="57"/>
    </row>
    <row r="277" spans="1:6" ht="49.500000">
      <c r="A277" s="4">
        <v>276</v>
      </c>
      <c r="B277" s="760" t="s">
        <v>696</v>
      </c>
      <c r="C277" s="760" t="s">
        <v>696</v>
      </c>
      <c r="D277" s="30" t="s">
        <v>697</v>
      </c>
      <c r="E277" s="139" t="s">
        <v>4197</v>
      </c>
      <c r="F277" s="57"/>
    </row>
    <row r="278" spans="1:6" ht="33.000000">
      <c r="A278" s="4">
        <v>277</v>
      </c>
      <c r="B278" s="760" t="s">
        <v>784</v>
      </c>
      <c r="C278" s="760" t="s">
        <v>784</v>
      </c>
      <c r="D278" s="30" t="s">
        <v>785</v>
      </c>
      <c r="E278" s="139" t="s">
        <v>4197</v>
      </c>
      <c r="F278" s="57"/>
    </row>
    <row r="279" spans="1:6" ht="49.500000">
      <c r="A279" s="4">
        <v>278</v>
      </c>
      <c r="B279" s="760" t="s">
        <v>674</v>
      </c>
      <c r="C279" s="760" t="s">
        <v>674</v>
      </c>
      <c r="D279" s="30" t="s">
        <v>675</v>
      </c>
      <c r="E279" s="139" t="s">
        <v>4197</v>
      </c>
      <c r="F279" s="57"/>
    </row>
    <row r="280" spans="1:6" ht="49.500000">
      <c r="A280" s="4">
        <v>279</v>
      </c>
      <c r="B280" s="760" t="s">
        <v>408</v>
      </c>
      <c r="C280" s="760" t="s">
        <v>408</v>
      </c>
      <c r="D280" s="30" t="s">
        <v>409</v>
      </c>
      <c r="E280" s="139" t="s">
        <v>4197</v>
      </c>
      <c r="F280" s="57"/>
    </row>
    <row r="281" spans="1:6" ht="49.500000">
      <c r="A281" s="4">
        <v>280</v>
      </c>
      <c r="B281" s="760" t="s">
        <v>245</v>
      </c>
      <c r="C281" s="760" t="s">
        <v>245</v>
      </c>
      <c r="D281" s="30" t="s">
        <v>246</v>
      </c>
      <c r="E281" s="139" t="s">
        <v>4197</v>
      </c>
      <c r="F281" s="57"/>
    </row>
    <row r="282" spans="1:6" ht="49.500000">
      <c r="A282" s="4">
        <v>281</v>
      </c>
      <c r="B282" s="760" t="s">
        <v>795</v>
      </c>
      <c r="C282" s="760" t="s">
        <v>795</v>
      </c>
      <c r="D282" s="30" t="s">
        <v>4364</v>
      </c>
      <c r="E282" s="139" t="s">
        <v>4197</v>
      </c>
      <c r="F282" s="57"/>
    </row>
    <row r="283" spans="1:6" ht="33.000000">
      <c r="A283" s="4">
        <v>282</v>
      </c>
      <c r="B283" s="760" t="s">
        <v>426</v>
      </c>
      <c r="C283" s="760" t="s">
        <v>426</v>
      </c>
      <c r="D283" s="30" t="s">
        <v>427</v>
      </c>
      <c r="E283" s="139" t="s">
        <v>4197</v>
      </c>
      <c r="F283" s="57"/>
    </row>
    <row r="284" spans="1:6" ht="49.500000">
      <c r="A284" s="4">
        <v>283</v>
      </c>
      <c r="B284" s="760" t="s">
        <v>665</v>
      </c>
      <c r="C284" s="760" t="s">
        <v>665</v>
      </c>
      <c r="D284" s="30" t="s">
        <v>666</v>
      </c>
      <c r="E284" s="139" t="s">
        <v>4197</v>
      </c>
      <c r="F284" s="57"/>
    </row>
    <row r="285" spans="1:6" ht="33.000000">
      <c r="A285" s="4">
        <v>284</v>
      </c>
      <c r="B285" s="760" t="s">
        <v>422</v>
      </c>
      <c r="C285" s="760" t="s">
        <v>422</v>
      </c>
      <c r="D285" s="30" t="s">
        <v>423</v>
      </c>
      <c r="E285" s="139" t="s">
        <v>4197</v>
      </c>
      <c r="F285" s="57"/>
    </row>
    <row r="286" spans="1:6" ht="33.000000">
      <c r="A286" s="4">
        <v>285</v>
      </c>
      <c r="B286" s="760" t="s">
        <v>804</v>
      </c>
      <c r="C286" s="760" t="s">
        <v>804</v>
      </c>
      <c r="D286" s="30" t="s">
        <v>811</v>
      </c>
      <c r="E286" s="139" t="s">
        <v>4197</v>
      </c>
      <c r="F286" s="57"/>
    </row>
    <row r="287" spans="1:6" ht="49.500000">
      <c r="A287" s="4">
        <v>286</v>
      </c>
      <c r="B287" s="970" t="s">
        <v>701</v>
      </c>
      <c r="C287" s="971" t="s">
        <v>4484</v>
      </c>
      <c r="D287" s="30" t="s">
        <v>702</v>
      </c>
      <c r="E287" s="139" t="s">
        <v>4197</v>
      </c>
      <c r="F287" s="57"/>
    </row>
    <row r="288" spans="1:6" ht="49.500000">
      <c r="A288" s="4">
        <v>287</v>
      </c>
      <c r="B288" s="760" t="s">
        <v>216</v>
      </c>
      <c r="C288" s="760" t="s">
        <v>216</v>
      </c>
      <c r="D288" s="30" t="s">
        <v>217</v>
      </c>
      <c r="E288" s="139" t="s">
        <v>4197</v>
      </c>
      <c r="F288" s="57"/>
    </row>
    <row r="289" spans="1:6" ht="33.000000">
      <c r="A289" s="4">
        <v>288</v>
      </c>
      <c r="B289" s="760" t="s">
        <v>304</v>
      </c>
      <c r="C289" s="760" t="s">
        <v>304</v>
      </c>
      <c r="D289" s="30" t="s">
        <v>305</v>
      </c>
      <c r="E289" s="139" t="s">
        <v>4197</v>
      </c>
      <c r="F289" s="57"/>
    </row>
    <row r="290" spans="1:6" ht="49.500000">
      <c r="A290" s="4">
        <v>289</v>
      </c>
      <c r="B290" s="760" t="s">
        <v>414</v>
      </c>
      <c r="C290" s="760" t="s">
        <v>414</v>
      </c>
      <c r="D290" s="30" t="s">
        <v>415</v>
      </c>
      <c r="E290" s="139" t="s">
        <v>4197</v>
      </c>
      <c r="F290" s="57"/>
    </row>
    <row r="291" spans="1:6" ht="49.500000">
      <c r="A291" s="4">
        <v>290</v>
      </c>
      <c r="B291" s="760" t="s">
        <v>524</v>
      </c>
      <c r="C291" s="760" t="s">
        <v>524</v>
      </c>
      <c r="D291" s="30" t="s">
        <v>525</v>
      </c>
      <c r="E291" s="139" t="s">
        <v>4197</v>
      </c>
      <c r="F291" s="57"/>
    </row>
    <row r="292" spans="1:6" ht="49.500000">
      <c r="A292" s="4">
        <v>291</v>
      </c>
      <c r="B292" s="760" t="s">
        <v>413</v>
      </c>
      <c r="C292" s="760" t="s">
        <v>413</v>
      </c>
      <c r="D292" s="30" t="s">
        <v>943</v>
      </c>
      <c r="E292" s="139" t="s">
        <v>4197</v>
      </c>
      <c r="F292" s="57"/>
    </row>
    <row r="293" spans="1:6" ht="49.500000">
      <c r="A293" s="4">
        <v>292</v>
      </c>
      <c r="B293" s="760" t="s">
        <v>165</v>
      </c>
      <c r="C293" s="760" t="s">
        <v>165</v>
      </c>
      <c r="D293" s="30" t="s">
        <v>1048</v>
      </c>
      <c r="E293" s="139" t="s">
        <v>4197</v>
      </c>
      <c r="F293" s="57"/>
    </row>
    <row r="294" spans="1:6" ht="33.000000">
      <c r="A294" s="4">
        <v>293</v>
      </c>
      <c r="B294" s="760" t="s">
        <v>632</v>
      </c>
      <c r="C294" s="760" t="s">
        <v>632</v>
      </c>
      <c r="D294" s="30" t="s">
        <v>634</v>
      </c>
      <c r="E294" s="139" t="s">
        <v>4197</v>
      </c>
      <c r="F294" s="57"/>
    </row>
    <row r="295" spans="1:6" ht="49.500000">
      <c r="A295" s="4">
        <v>294</v>
      </c>
      <c r="B295" s="760" t="s">
        <v>732</v>
      </c>
      <c r="C295" s="760" t="s">
        <v>732</v>
      </c>
      <c r="D295" s="30" t="s">
        <v>733</v>
      </c>
      <c r="E295" s="139" t="s">
        <v>4197</v>
      </c>
      <c r="F295" s="57"/>
    </row>
    <row r="296" spans="1:6" ht="49.500000">
      <c r="A296" s="4">
        <v>295</v>
      </c>
      <c r="B296" s="760" t="s">
        <v>874</v>
      </c>
      <c r="C296" s="760" t="s">
        <v>874</v>
      </c>
      <c r="D296" s="30" t="s">
        <v>4365</v>
      </c>
      <c r="E296" s="139" t="s">
        <v>4197</v>
      </c>
      <c r="F296" s="57"/>
    </row>
    <row r="297" spans="1:6" ht="33.000000">
      <c r="A297" s="4">
        <v>296</v>
      </c>
      <c r="B297" s="760" t="s">
        <v>626</v>
      </c>
      <c r="C297" s="760" t="s">
        <v>626</v>
      </c>
      <c r="D297" s="30" t="s">
        <v>627</v>
      </c>
      <c r="E297" s="139" t="s">
        <v>4197</v>
      </c>
      <c r="F297" s="57"/>
    </row>
    <row r="298" spans="1:6" ht="49.500000">
      <c r="A298" s="4">
        <v>297</v>
      </c>
      <c r="B298" s="760" t="s">
        <v>639</v>
      </c>
      <c r="C298" s="760" t="s">
        <v>639</v>
      </c>
      <c r="D298" s="30" t="s">
        <v>640</v>
      </c>
      <c r="E298" s="139" t="s">
        <v>4197</v>
      </c>
      <c r="F298" s="57"/>
    </row>
    <row r="299" spans="1:6" ht="49.500000">
      <c r="A299" s="4">
        <v>298</v>
      </c>
      <c r="B299" s="760" t="s">
        <v>295</v>
      </c>
      <c r="C299" s="760" t="s">
        <v>295</v>
      </c>
      <c r="D299" s="30" t="s">
        <v>296</v>
      </c>
      <c r="E299" s="139" t="s">
        <v>4197</v>
      </c>
      <c r="F299" s="57"/>
    </row>
    <row r="300" spans="1:6" ht="49.500000">
      <c r="A300" s="4">
        <v>299</v>
      </c>
      <c r="B300" s="760" t="s">
        <v>740</v>
      </c>
      <c r="C300" s="760" t="s">
        <v>740</v>
      </c>
      <c r="D300" s="30" t="s">
        <v>741</v>
      </c>
      <c r="E300" s="139" t="s">
        <v>4197</v>
      </c>
      <c r="F300" s="57"/>
    </row>
    <row r="301" spans="1:6" ht="33.000000">
      <c r="A301" s="4">
        <v>300</v>
      </c>
      <c r="B301" s="760" t="s">
        <v>218</v>
      </c>
      <c r="C301" s="760" t="s">
        <v>218</v>
      </c>
      <c r="D301" s="30" t="s">
        <v>219</v>
      </c>
      <c r="E301" s="139" t="s">
        <v>4197</v>
      </c>
      <c r="F301" s="57"/>
    </row>
    <row r="302" spans="1:6" ht="33.000000">
      <c r="A302" s="4">
        <v>301</v>
      </c>
      <c r="B302" s="760" t="s">
        <v>690</v>
      </c>
      <c r="C302" s="760" t="s">
        <v>690</v>
      </c>
      <c r="D302" s="30" t="s">
        <v>938</v>
      </c>
      <c r="E302" s="139" t="s">
        <v>4197</v>
      </c>
      <c r="F302" s="57"/>
    </row>
    <row r="303" spans="1:6" ht="49.500000">
      <c r="A303" s="4">
        <v>302</v>
      </c>
      <c r="B303" s="760" t="s">
        <v>416</v>
      </c>
      <c r="C303" s="760" t="s">
        <v>416</v>
      </c>
      <c r="D303" s="30" t="s">
        <v>417</v>
      </c>
      <c r="E303" s="139" t="s">
        <v>4197</v>
      </c>
      <c r="F303" s="57"/>
    </row>
    <row r="304" spans="1:6" ht="33.000000">
      <c r="A304" s="4">
        <v>303</v>
      </c>
      <c r="B304" s="760" t="s">
        <v>647</v>
      </c>
      <c r="C304" s="760" t="s">
        <v>647</v>
      </c>
      <c r="D304" s="30" t="s">
        <v>648</v>
      </c>
      <c r="E304" s="139" t="s">
        <v>4197</v>
      </c>
      <c r="F304" s="57"/>
    </row>
    <row r="305" spans="1:6" ht="66.000000">
      <c r="A305" s="4">
        <v>304</v>
      </c>
      <c r="B305" s="760" t="s">
        <v>821</v>
      </c>
      <c r="C305" s="760" t="s">
        <v>821</v>
      </c>
      <c r="D305" s="30" t="s">
        <v>4366</v>
      </c>
      <c r="E305" s="139" t="s">
        <v>4197</v>
      </c>
      <c r="F305" s="57"/>
    </row>
    <row r="306" spans="1:6" ht="66.000000">
      <c r="A306" s="4">
        <v>305</v>
      </c>
      <c r="B306" s="760" t="s">
        <v>706</v>
      </c>
      <c r="C306" s="760" t="s">
        <v>706</v>
      </c>
      <c r="D306" s="30" t="s">
        <v>4367</v>
      </c>
      <c r="E306" s="139" t="s">
        <v>4197</v>
      </c>
      <c r="F306" s="57"/>
    </row>
    <row r="307" spans="1:6" ht="49.500000">
      <c r="A307" s="4">
        <v>306</v>
      </c>
      <c r="B307" s="760" t="s">
        <v>133</v>
      </c>
      <c r="C307" s="760" t="s">
        <v>133</v>
      </c>
      <c r="D307" s="30" t="s">
        <v>134</v>
      </c>
      <c r="E307" s="139" t="s">
        <v>4197</v>
      </c>
      <c r="F307" s="57"/>
    </row>
    <row r="308" spans="1:6" ht="66.000000">
      <c r="A308" s="4">
        <v>307</v>
      </c>
      <c r="B308" s="760" t="s">
        <v>243</v>
      </c>
      <c r="C308" s="760" t="s">
        <v>243</v>
      </c>
      <c r="D308" s="30" t="s">
        <v>244</v>
      </c>
      <c r="E308" s="139" t="s">
        <v>4197</v>
      </c>
      <c r="F308" s="57"/>
    </row>
    <row r="309" spans="1:6" ht="49.500000">
      <c r="A309" s="4">
        <v>308</v>
      </c>
      <c r="B309" s="760" t="s">
        <v>641</v>
      </c>
      <c r="C309" s="760" t="s">
        <v>641</v>
      </c>
      <c r="D309" s="30" t="s">
        <v>642</v>
      </c>
      <c r="E309" s="139" t="s">
        <v>4197</v>
      </c>
      <c r="F309" s="57"/>
    </row>
    <row r="310" spans="1:6" ht="33.000000">
      <c r="A310" s="4">
        <v>309</v>
      </c>
      <c r="B310" s="760" t="s">
        <v>657</v>
      </c>
      <c r="C310" s="760" t="s">
        <v>657</v>
      </c>
      <c r="D310" s="30" t="s">
        <v>658</v>
      </c>
      <c r="E310" s="139" t="s">
        <v>4197</v>
      </c>
      <c r="F310" s="57"/>
    </row>
    <row r="311" spans="1:6" ht="33.000000">
      <c r="A311" s="4">
        <v>310</v>
      </c>
      <c r="B311" s="760" t="s">
        <v>819</v>
      </c>
      <c r="C311" s="760" t="s">
        <v>819</v>
      </c>
      <c r="D311" s="30" t="s">
        <v>820</v>
      </c>
      <c r="E311" s="139" t="s">
        <v>4197</v>
      </c>
      <c r="F311" s="57"/>
    </row>
    <row r="312" spans="1:6" ht="49.500000">
      <c r="A312" s="4">
        <v>311</v>
      </c>
      <c r="B312" s="760" t="s">
        <v>723</v>
      </c>
      <c r="C312" s="760" t="s">
        <v>723</v>
      </c>
      <c r="D312" s="30" t="s">
        <v>724</v>
      </c>
      <c r="E312" s="139" t="s">
        <v>4197</v>
      </c>
      <c r="F312" s="57"/>
    </row>
    <row r="313" spans="1:6" ht="33.000000">
      <c r="A313" s="4">
        <v>312</v>
      </c>
      <c r="B313" s="760" t="s">
        <v>428</v>
      </c>
      <c r="C313" s="760" t="s">
        <v>428</v>
      </c>
      <c r="D313" s="30" t="s">
        <v>429</v>
      </c>
      <c r="E313" s="139" t="s">
        <v>4197</v>
      </c>
      <c r="F313" s="57"/>
    </row>
    <row r="314" spans="1:6" ht="33.000000">
      <c r="A314" s="4">
        <v>313</v>
      </c>
      <c r="B314" s="760" t="s">
        <v>686</v>
      </c>
      <c r="C314" s="760" t="s">
        <v>686</v>
      </c>
      <c r="D314" s="30" t="s">
        <v>687</v>
      </c>
      <c r="E314" s="139" t="s">
        <v>4197</v>
      </c>
      <c r="F314" s="57"/>
    </row>
    <row r="315" spans="1:6" ht="33.000000">
      <c r="A315" s="4">
        <v>314</v>
      </c>
      <c r="B315" s="760" t="s">
        <v>853</v>
      </c>
      <c r="C315" s="760" t="s">
        <v>853</v>
      </c>
      <c r="D315" s="30" t="s">
        <v>854</v>
      </c>
      <c r="E315" s="139" t="s">
        <v>4197</v>
      </c>
      <c r="F315" s="57"/>
    </row>
    <row r="316" spans="1:6" ht="33.000000">
      <c r="A316" s="4">
        <v>315</v>
      </c>
      <c r="B316" s="760" t="s">
        <v>320</v>
      </c>
      <c r="C316" s="760" t="s">
        <v>320</v>
      </c>
      <c r="D316" s="30" t="s">
        <v>321</v>
      </c>
      <c r="E316" s="139" t="s">
        <v>4197</v>
      </c>
      <c r="F316" s="57"/>
    </row>
    <row r="317" spans="1:6" ht="33.000000">
      <c r="A317" s="4">
        <v>316</v>
      </c>
      <c r="B317" s="760" t="s">
        <v>682</v>
      </c>
      <c r="C317" s="760" t="s">
        <v>682</v>
      </c>
      <c r="D317" s="30" t="s">
        <v>683</v>
      </c>
      <c r="E317" s="139" t="s">
        <v>4197</v>
      </c>
      <c r="F317" s="57"/>
    </row>
    <row r="318" spans="1:6" ht="49.500000">
      <c r="A318" s="4">
        <v>317</v>
      </c>
      <c r="B318" s="760" t="s">
        <v>235</v>
      </c>
      <c r="C318" s="760" t="s">
        <v>235</v>
      </c>
      <c r="D318" s="30" t="s">
        <v>236</v>
      </c>
      <c r="E318" s="139" t="s">
        <v>4197</v>
      </c>
      <c r="F318" s="57"/>
    </row>
    <row r="319" spans="1:6" ht="33.000000">
      <c r="A319" s="4">
        <v>318</v>
      </c>
      <c r="B319" s="760" t="s">
        <v>226</v>
      </c>
      <c r="C319" s="760" t="s">
        <v>226</v>
      </c>
      <c r="D319" s="30" t="s">
        <v>227</v>
      </c>
      <c r="E319" s="139" t="s">
        <v>4197</v>
      </c>
      <c r="F319" s="57"/>
    </row>
    <row r="320" spans="1:6" ht="49.500000">
      <c r="A320" s="4">
        <v>319</v>
      </c>
      <c r="B320" s="760" t="s">
        <v>806</v>
      </c>
      <c r="C320" s="760" t="s">
        <v>806</v>
      </c>
      <c r="D320" s="30" t="s">
        <v>813</v>
      </c>
      <c r="E320" s="139" t="s">
        <v>4197</v>
      </c>
      <c r="F320" s="57"/>
    </row>
    <row r="321" spans="1:6" ht="49.500000">
      <c r="A321" s="4">
        <v>320</v>
      </c>
      <c r="B321" s="760" t="s">
        <v>712</v>
      </c>
      <c r="C321" s="760" t="s">
        <v>712</v>
      </c>
      <c r="D321" s="30" t="s">
        <v>713</v>
      </c>
      <c r="E321" s="139" t="s">
        <v>4197</v>
      </c>
      <c r="F321" s="57"/>
    </row>
    <row r="322" spans="1:6" ht="49.500000">
      <c r="A322" s="4">
        <v>321</v>
      </c>
      <c r="B322" s="760" t="s">
        <v>530</v>
      </c>
      <c r="C322" s="760" t="s">
        <v>530</v>
      </c>
      <c r="D322" s="30" t="s">
        <v>531</v>
      </c>
      <c r="E322" s="139" t="s">
        <v>4197</v>
      </c>
      <c r="F322" s="57"/>
    </row>
    <row r="323" spans="1:6" ht="49.500000">
      <c r="A323" s="4">
        <v>322</v>
      </c>
      <c r="B323" s="760" t="s">
        <v>694</v>
      </c>
      <c r="C323" s="760" t="s">
        <v>694</v>
      </c>
      <c r="D323" s="30" t="s">
        <v>695</v>
      </c>
      <c r="E323" s="139" t="s">
        <v>4197</v>
      </c>
      <c r="F323" s="57"/>
    </row>
    <row r="324" spans="1:6" ht="49.500000">
      <c r="A324" s="4">
        <v>323</v>
      </c>
      <c r="B324" s="760" t="s">
        <v>676</v>
      </c>
      <c r="C324" s="760" t="s">
        <v>676</v>
      </c>
      <c r="D324" s="30" t="s">
        <v>677</v>
      </c>
      <c r="E324" s="139" t="s">
        <v>4197</v>
      </c>
      <c r="F324" s="57"/>
    </row>
    <row r="325" spans="1:6" ht="49.500000">
      <c r="A325" s="4">
        <v>324</v>
      </c>
      <c r="B325" s="760" t="s">
        <v>863</v>
      </c>
      <c r="C325" s="760" t="s">
        <v>863</v>
      </c>
      <c r="D325" s="30" t="s">
        <v>864</v>
      </c>
      <c r="E325" s="139" t="s">
        <v>4197</v>
      </c>
      <c r="F325" s="57"/>
    </row>
    <row r="326" spans="1:6" ht="49.500000">
      <c r="A326" s="4">
        <v>325</v>
      </c>
      <c r="B326" s="760" t="s">
        <v>793</v>
      </c>
      <c r="C326" s="760" t="s">
        <v>793</v>
      </c>
      <c r="D326" s="30" t="s">
        <v>794</v>
      </c>
      <c r="E326" s="139" t="s">
        <v>4197</v>
      </c>
      <c r="F326" s="57"/>
    </row>
    <row r="327" spans="1:6" ht="33.000000">
      <c r="A327" s="4">
        <v>326</v>
      </c>
      <c r="B327" s="760" t="s">
        <v>873</v>
      </c>
      <c r="C327" s="760" t="s">
        <v>873</v>
      </c>
      <c r="D327" s="30" t="s">
        <v>882</v>
      </c>
      <c r="E327" s="139" t="s">
        <v>4197</v>
      </c>
      <c r="F327" s="57"/>
    </row>
    <row r="328" spans="1:6" ht="49.500000">
      <c r="A328" s="4">
        <v>327</v>
      </c>
      <c r="B328" s="760" t="s">
        <v>158</v>
      </c>
      <c r="C328" s="760" t="s">
        <v>158</v>
      </c>
      <c r="D328" s="30" t="s">
        <v>159</v>
      </c>
      <c r="E328" s="139" t="s">
        <v>4197</v>
      </c>
      <c r="F328" s="57"/>
    </row>
    <row r="329" spans="1:6" ht="49.500000">
      <c r="A329" s="4">
        <v>328</v>
      </c>
      <c r="B329" s="760" t="s">
        <v>691</v>
      </c>
      <c r="C329" s="760" t="s">
        <v>691</v>
      </c>
      <c r="D329" s="30" t="s">
        <v>692</v>
      </c>
      <c r="E329" s="139" t="s">
        <v>4197</v>
      </c>
      <c r="F329" s="57"/>
    </row>
    <row r="330" spans="1:6" ht="49.500000">
      <c r="A330" s="4">
        <v>329</v>
      </c>
      <c r="B330" s="760" t="s">
        <v>774</v>
      </c>
      <c r="C330" s="760" t="s">
        <v>774</v>
      </c>
      <c r="D330" s="30" t="s">
        <v>4368</v>
      </c>
      <c r="E330" s="139" t="s">
        <v>4197</v>
      </c>
      <c r="F330" s="57"/>
    </row>
    <row r="331" spans="1:6" ht="49.500000">
      <c r="A331" s="4">
        <v>330</v>
      </c>
      <c r="B331" s="760" t="s">
        <v>875</v>
      </c>
      <c r="C331" s="760" t="s">
        <v>875</v>
      </c>
      <c r="D331" s="30" t="s">
        <v>885</v>
      </c>
      <c r="E331" s="139" t="s">
        <v>4197</v>
      </c>
      <c r="F331" s="57"/>
    </row>
    <row r="332" spans="1:6" ht="33.000000">
      <c r="A332" s="4">
        <v>331</v>
      </c>
      <c r="B332" s="760" t="s">
        <v>714</v>
      </c>
      <c r="C332" s="760" t="s">
        <v>714</v>
      </c>
      <c r="D332" s="30" t="s">
        <v>715</v>
      </c>
      <c r="E332" s="139" t="s">
        <v>4197</v>
      </c>
      <c r="F332" s="57"/>
    </row>
    <row r="333" spans="1:6" ht="49.500000">
      <c r="A333" s="4">
        <v>332</v>
      </c>
      <c r="B333" s="760" t="s">
        <v>253</v>
      </c>
      <c r="C333" s="760" t="s">
        <v>253</v>
      </c>
      <c r="D333" s="30" t="s">
        <v>254</v>
      </c>
      <c r="E333" s="139" t="s">
        <v>4197</v>
      </c>
      <c r="F333" s="57"/>
    </row>
    <row r="334" spans="1:6" ht="49.500000">
      <c r="A334" s="4">
        <v>333</v>
      </c>
      <c r="B334" s="970" t="s">
        <v>298</v>
      </c>
      <c r="C334" s="971" t="s">
        <v>4461</v>
      </c>
      <c r="D334" s="30" t="s">
        <v>299</v>
      </c>
      <c r="E334" s="139" t="s">
        <v>4197</v>
      </c>
      <c r="F334" s="57"/>
    </row>
    <row r="335" spans="1:6" ht="49.500000">
      <c r="A335" s="4">
        <v>334</v>
      </c>
      <c r="B335" s="760" t="s">
        <v>550</v>
      </c>
      <c r="C335" s="760" t="s">
        <v>550</v>
      </c>
      <c r="D335" s="30" t="s">
        <v>551</v>
      </c>
      <c r="E335" s="139" t="s">
        <v>4197</v>
      </c>
      <c r="F335" s="57"/>
    </row>
    <row r="336" spans="1:6" ht="33.000000">
      <c r="A336" s="4">
        <v>335</v>
      </c>
      <c r="B336" s="760" t="s">
        <v>652</v>
      </c>
      <c r="C336" s="760" t="s">
        <v>652</v>
      </c>
      <c r="D336" s="30" t="s">
        <v>947</v>
      </c>
      <c r="E336" s="139" t="s">
        <v>4197</v>
      </c>
      <c r="F336" s="57"/>
    </row>
    <row r="337" spans="1:6" ht="33.000000">
      <c r="A337" s="4">
        <v>336</v>
      </c>
      <c r="B337" s="760" t="s">
        <v>4326</v>
      </c>
      <c r="C337" s="760" t="s">
        <v>552</v>
      </c>
      <c r="D337" s="30" t="s">
        <v>553</v>
      </c>
      <c r="E337" s="139" t="s">
        <v>4197</v>
      </c>
      <c r="F337" s="57"/>
    </row>
    <row r="338" spans="1:6" ht="17.250000">
      <c r="A338" s="4">
        <v>337</v>
      </c>
      <c r="B338" s="29"/>
      <c r="C338" s="28"/>
      <c r="D338" s="90"/>
      <c r="E338" s="142"/>
      <c r="F338" s="28"/>
    </row>
    <row r="339" spans="1:6" ht="17.250000">
      <c r="A339" s="4">
        <v>338</v>
      </c>
      <c r="B339" s="29"/>
      <c r="C339" s="28"/>
      <c r="D339" s="90"/>
      <c r="E339" s="142"/>
      <c r="F339" s="28"/>
    </row>
    <row r="340" spans="1:6" ht="17.250000">
      <c r="A340" s="4">
        <v>339</v>
      </c>
      <c r="B340" s="29"/>
      <c r="C340" s="28"/>
      <c r="D340" s="90"/>
      <c r="E340" s="142"/>
      <c r="F340" s="28"/>
    </row>
    <row r="341" spans="1:6" ht="17.250000">
      <c r="A341" s="4">
        <v>340</v>
      </c>
      <c r="B341" s="29"/>
      <c r="C341" s="28"/>
      <c r="D341" s="90"/>
      <c r="E341" s="142"/>
      <c r="F341" s="28"/>
    </row>
    <row r="342" spans="1:6" ht="17.250000">
      <c r="A342" s="4">
        <v>341</v>
      </c>
      <c r="B342" s="29"/>
      <c r="C342" s="28"/>
      <c r="D342" s="90"/>
      <c r="E342" s="142"/>
      <c r="F342" s="28"/>
    </row>
    <row r="343" spans="1:6" ht="17.250000">
      <c r="A343" s="4">
        <v>342</v>
      </c>
      <c r="B343" s="29"/>
      <c r="C343" s="28"/>
      <c r="D343" s="90"/>
      <c r="E343" s="142"/>
      <c r="F343" s="28"/>
    </row>
    <row r="344" spans="1:6" ht="17.250000">
      <c r="A344" s="4">
        <v>343</v>
      </c>
      <c r="B344" s="29"/>
      <c r="C344" s="28"/>
      <c r="D344" s="90"/>
      <c r="E344" s="142"/>
      <c r="F344" s="28"/>
    </row>
    <row r="345" spans="1:6" ht="17.250000">
      <c r="A345" s="4">
        <v>344</v>
      </c>
      <c r="B345" s="29"/>
      <c r="C345" s="28"/>
      <c r="D345" s="90"/>
      <c r="E345" s="142"/>
      <c r="F345" s="28"/>
    </row>
  </sheetData>
  <autoFilter ref="B1:F345"/>
  <phoneticPr fontId="1" type="noConversion"/>
  <conditionalFormatting sqref="B1:C1 B346:B1047199">
    <cfRule type="duplicateValues" dxfId="195" priority="2101"/>
  </conditionalFormatting>
  <conditionalFormatting sqref="B338:C345">
    <cfRule type="duplicateValues" dxfId="98" priority="973"/>
  </conditionalFormatting>
  <conditionalFormatting sqref="B1:C1 B338:C345 B346:B1047203">
    <cfRule type="duplicateValues" dxfId="378" priority="704"/>
    <cfRule type="duplicateValues" dxfId="361" priority="790"/>
  </conditionalFormatting>
  <pageMargins left="0.70" right="0.70" top="0.75" bottom="0.75" header="0.30" footer="0.30"/>
  <pageSetup paperSize="9" orientation="portrait"/>
  <legacyDrawing r:id="rId1"/>
</worksheet>
</file>

<file path=xl/worksheets/sheet3.xml><?xml version="1.0" encoding="utf-8"?>
<worksheet xmlns="http://schemas.openxmlformats.org/spreadsheetml/2006/main" xmlns:r="http://schemas.openxmlformats.org/officeDocument/2006/relationships">
  <dimension ref="A1:G354"/>
  <sheetViews>
    <sheetView zoomScale="60" zoomScaleNormal="60" workbookViewId="0">
      <pane ySplit="1" topLeftCell="A2" activePane="bottomLeft" state="frozen"/>
      <selection pane="bottomLeft" activeCell="C6" sqref="C6"/>
    </sheetView>
  </sheetViews>
  <sheetFormatPr defaultRowHeight="16.500000"/>
  <cols>
    <col min="1" max="1" style="20" width="9.00500011" customWidth="1" outlineLevel="0"/>
    <col min="2" max="2" style="19" width="23.87999916" customWidth="1" outlineLevel="0"/>
    <col min="3" max="3" style="20" width="18.50499916" customWidth="1" outlineLevel="0"/>
    <col min="4" max="4" style="22" width="61.88000107" customWidth="1" outlineLevel="0"/>
    <col min="5" max="5" style="21" width="40.38000107" customWidth="1" outlineLevel="0"/>
    <col min="6" max="6" style="910" width="18.50499916" customWidth="1" outlineLevel="0"/>
    <col min="7" max="7" style="20" width="18.50499916" customWidth="1" outlineLevel="0"/>
  </cols>
  <sheetData>
    <row r="1" spans="1:7" ht="33.000000">
      <c r="A1" s="2" t="s">
        <v>84</v>
      </c>
      <c r="B1" s="23" t="s">
        <v>891</v>
      </c>
      <c r="C1" s="903" t="s">
        <v>4315</v>
      </c>
      <c r="D1" s="23" t="s">
        <v>126</v>
      </c>
      <c r="E1" s="2" t="s">
        <v>1054</v>
      </c>
      <c r="F1" s="2" t="s">
        <v>4196</v>
      </c>
      <c r="G1" s="2" t="s">
        <v>4191</v>
      </c>
    </row>
    <row r="2" spans="1:7" ht="33.000000">
      <c r="A2" s="4">
        <v>1</v>
      </c>
      <c r="B2" s="978" t="s">
        <v>2095</v>
      </c>
      <c r="C2" s="980" t="s">
        <v>4485</v>
      </c>
      <c r="D2" s="30" t="s">
        <v>2096</v>
      </c>
      <c r="E2" s="117" t="s">
        <v>2097</v>
      </c>
      <c r="F2" s="922" t="s">
        <v>2787</v>
      </c>
      <c r="G2" s="28">
        <v>5.85</v>
      </c>
    </row>
    <row r="3" spans="1:7" ht="17.250000">
      <c r="A3" s="4">
        <v>2</v>
      </c>
      <c r="B3" s="29" t="s">
        <v>4123</v>
      </c>
      <c r="C3" s="29" t="s">
        <v>4123</v>
      </c>
      <c r="D3" s="30" t="s">
        <v>4303</v>
      </c>
      <c r="E3" s="27" t="s">
        <v>1709</v>
      </c>
      <c r="F3" s="922" t="s">
        <v>2787</v>
      </c>
      <c r="G3" s="28">
        <v>5.71</v>
      </c>
    </row>
    <row r="4" spans="1:7" ht="33.000000">
      <c r="A4" s="4">
        <v>3</v>
      </c>
      <c r="B4" s="29" t="s">
        <v>55</v>
      </c>
      <c r="C4" s="29" t="s">
        <v>55</v>
      </c>
      <c r="D4" s="30" t="s">
        <v>1523</v>
      </c>
      <c r="E4" s="27" t="s">
        <v>1564</v>
      </c>
      <c r="F4" s="922" t="s">
        <v>2787</v>
      </c>
      <c r="G4" s="28">
        <v>5.47</v>
      </c>
    </row>
    <row r="5" spans="1:7" ht="17.250000">
      <c r="A5" s="4">
        <v>4</v>
      </c>
      <c r="B5" s="29" t="s">
        <v>1592</v>
      </c>
      <c r="C5" s="29" t="s">
        <v>1592</v>
      </c>
      <c r="D5" s="30" t="s">
        <v>1797</v>
      </c>
      <c r="E5" s="116" t="s">
        <v>1682</v>
      </c>
      <c r="F5" s="922" t="s">
        <v>2787</v>
      </c>
      <c r="G5" s="28">
        <v>5.31</v>
      </c>
    </row>
    <row r="6" spans="1:7" ht="33.000000">
      <c r="A6" s="4">
        <v>5</v>
      </c>
      <c r="B6" s="29" t="s">
        <v>1656</v>
      </c>
      <c r="C6" s="29" t="s">
        <v>1656</v>
      </c>
      <c r="D6" s="30" t="s">
        <v>1931</v>
      </c>
      <c r="E6" s="117" t="s">
        <v>1709</v>
      </c>
      <c r="F6" s="922" t="s">
        <v>2787</v>
      </c>
      <c r="G6" s="28">
        <v>5.22</v>
      </c>
    </row>
    <row r="7" spans="1:7" ht="33.000000">
      <c r="A7" s="4">
        <v>6</v>
      </c>
      <c r="B7" s="29" t="s">
        <v>514</v>
      </c>
      <c r="C7" s="29" t="s">
        <v>514</v>
      </c>
      <c r="D7" s="30" t="s">
        <v>2191</v>
      </c>
      <c r="E7" s="31" t="s">
        <v>1225</v>
      </c>
      <c r="F7" s="922" t="s">
        <v>2787</v>
      </c>
      <c r="G7" s="28">
        <v>5.21</v>
      </c>
    </row>
    <row r="8" spans="1:7" ht="33.000000">
      <c r="A8" s="4">
        <v>7</v>
      </c>
      <c r="B8" s="29" t="s">
        <v>2111</v>
      </c>
      <c r="C8" s="29" t="s">
        <v>2111</v>
      </c>
      <c r="D8" s="30" t="s">
        <v>2119</v>
      </c>
      <c r="E8" s="125" t="s">
        <v>1670</v>
      </c>
      <c r="F8" s="922" t="s">
        <v>2787</v>
      </c>
      <c r="G8" s="28">
        <v>5.17</v>
      </c>
    </row>
    <row r="9" spans="1:7" ht="33.000000">
      <c r="A9" s="4">
        <v>8</v>
      </c>
      <c r="B9" s="29" t="s">
        <v>1261</v>
      </c>
      <c r="C9" s="29" t="s">
        <v>1261</v>
      </c>
      <c r="D9" s="30" t="s">
        <v>4304</v>
      </c>
      <c r="E9" s="27" t="s">
        <v>1709</v>
      </c>
      <c r="F9" s="922" t="s">
        <v>2787</v>
      </c>
      <c r="G9" s="28">
        <v>5.09</v>
      </c>
    </row>
    <row r="10" spans="1:7" ht="33.000000">
      <c r="A10" s="4">
        <v>9</v>
      </c>
      <c r="B10" s="978" t="s">
        <v>2173</v>
      </c>
      <c r="C10" s="980" t="s">
        <v>2223</v>
      </c>
      <c r="D10" s="30" t="s">
        <v>2175</v>
      </c>
      <c r="E10" s="117" t="s">
        <v>2225</v>
      </c>
      <c r="F10" s="922" t="s">
        <v>2787</v>
      </c>
      <c r="G10" s="28">
        <v>5.08</v>
      </c>
    </row>
    <row r="11" spans="1:7" ht="17.250000">
      <c r="A11" s="4">
        <v>10</v>
      </c>
      <c r="B11" s="29" t="s">
        <v>4126</v>
      </c>
      <c r="C11" s="29" t="s">
        <v>4126</v>
      </c>
      <c r="D11" s="30" t="s">
        <v>4305</v>
      </c>
      <c r="E11" s="116" t="s">
        <v>4308</v>
      </c>
      <c r="F11" s="923">
        <v>1</v>
      </c>
      <c r="G11" s="28">
        <v>4.92</v>
      </c>
    </row>
    <row r="12" spans="1:7" ht="49.500000">
      <c r="A12" s="4">
        <v>11</v>
      </c>
      <c r="B12" s="29" t="s">
        <v>17</v>
      </c>
      <c r="C12" s="29" t="s">
        <v>17</v>
      </c>
      <c r="D12" s="30" t="s">
        <v>4369</v>
      </c>
      <c r="E12" s="111" t="s">
        <v>233</v>
      </c>
      <c r="F12" s="923">
        <v>1</v>
      </c>
      <c r="G12" s="28">
        <v>4.86</v>
      </c>
    </row>
    <row r="13" spans="1:7" ht="17.250000">
      <c r="A13" s="4">
        <v>12</v>
      </c>
      <c r="B13" s="978" t="s">
        <v>2223</v>
      </c>
      <c r="C13" s="980" t="s">
        <v>2173</v>
      </c>
      <c r="D13" s="30" t="s">
        <v>2226</v>
      </c>
      <c r="E13" s="117" t="s">
        <v>1676</v>
      </c>
      <c r="F13" s="923">
        <v>1</v>
      </c>
      <c r="G13" s="28">
        <v>4.85</v>
      </c>
    </row>
    <row r="14" spans="1:7" ht="49.500000">
      <c r="A14" s="4">
        <v>13</v>
      </c>
      <c r="B14" s="29" t="s">
        <v>1757</v>
      </c>
      <c r="C14" s="29" t="s">
        <v>1757</v>
      </c>
      <c r="D14" s="30" t="s">
        <v>2059</v>
      </c>
      <c r="E14" s="116" t="s">
        <v>1683</v>
      </c>
      <c r="F14" s="923">
        <v>1</v>
      </c>
      <c r="G14" s="28">
        <v>4.8</v>
      </c>
    </row>
    <row r="15" spans="1:7" ht="33.000000">
      <c r="A15" s="4">
        <v>14</v>
      </c>
      <c r="B15" s="29" t="s">
        <v>2109</v>
      </c>
      <c r="C15" s="29" t="s">
        <v>2109</v>
      </c>
      <c r="D15" s="30" t="s">
        <v>2116</v>
      </c>
      <c r="E15" s="116" t="s">
        <v>1678</v>
      </c>
      <c r="F15" s="923">
        <v>1</v>
      </c>
      <c r="G15" s="28">
        <v>4.75</v>
      </c>
    </row>
    <row r="16" spans="1:7" ht="45.750000" customHeight="1">
      <c r="A16" s="4">
        <v>15</v>
      </c>
      <c r="B16" s="978" t="s">
        <v>2186</v>
      </c>
      <c r="C16" s="980" t="s">
        <v>4497</v>
      </c>
      <c r="D16" s="30" t="s">
        <v>2154</v>
      </c>
      <c r="E16" s="117" t="s">
        <v>2156</v>
      </c>
      <c r="F16" s="923">
        <v>1</v>
      </c>
      <c r="G16" s="28">
        <v>4.73</v>
      </c>
    </row>
    <row r="17" spans="1:7" ht="66.000000">
      <c r="A17" s="4">
        <v>16</v>
      </c>
      <c r="B17" s="29" t="s">
        <v>2233</v>
      </c>
      <c r="C17" s="29" t="s">
        <v>2233</v>
      </c>
      <c r="D17" s="30" t="s">
        <v>4370</v>
      </c>
      <c r="E17" s="117" t="s">
        <v>2237</v>
      </c>
      <c r="F17" s="923">
        <v>1</v>
      </c>
      <c r="G17" s="28">
        <v>4.69</v>
      </c>
    </row>
    <row r="18" spans="1:7" ht="33.000000">
      <c r="A18" s="4">
        <v>17</v>
      </c>
      <c r="B18" s="29" t="s">
        <v>2100</v>
      </c>
      <c r="C18" s="29" t="s">
        <v>2100</v>
      </c>
      <c r="D18" s="30" t="s">
        <v>2104</v>
      </c>
      <c r="E18" s="116" t="s">
        <v>1703</v>
      </c>
      <c r="F18" s="923">
        <v>1</v>
      </c>
      <c r="G18" s="28">
        <v>4.69</v>
      </c>
    </row>
    <row r="19" spans="1:7" ht="66.000000">
      <c r="A19" s="4">
        <v>18</v>
      </c>
      <c r="B19" s="978" t="s">
        <v>2252</v>
      </c>
      <c r="C19" s="980" t="s">
        <v>4503</v>
      </c>
      <c r="D19" s="30" t="s">
        <v>4371</v>
      </c>
      <c r="E19" s="117" t="s">
        <v>2255</v>
      </c>
      <c r="F19" s="923">
        <v>1</v>
      </c>
      <c r="G19" s="28">
        <v>4.69</v>
      </c>
    </row>
    <row r="20" spans="1:7" ht="33.000000">
      <c r="A20" s="4">
        <v>19</v>
      </c>
      <c r="B20" s="29" t="s">
        <v>1650</v>
      </c>
      <c r="C20" s="29" t="s">
        <v>1650</v>
      </c>
      <c r="D20" s="30" t="s">
        <v>1917</v>
      </c>
      <c r="E20" s="116" t="s">
        <v>1706</v>
      </c>
      <c r="F20" s="923">
        <v>1</v>
      </c>
      <c r="G20" s="28">
        <v>4.62</v>
      </c>
    </row>
    <row r="21" spans="1:7" ht="33.000000">
      <c r="A21" s="4">
        <v>20</v>
      </c>
      <c r="B21" s="29" t="s">
        <v>1595</v>
      </c>
      <c r="C21" s="29" t="s">
        <v>1595</v>
      </c>
      <c r="D21" s="30" t="s">
        <v>1803</v>
      </c>
      <c r="E21" s="116" t="s">
        <v>1683</v>
      </c>
      <c r="F21" s="923">
        <v>1</v>
      </c>
      <c r="G21" s="28">
        <v>4.57</v>
      </c>
    </row>
    <row r="22" spans="1:7" ht="66.000000">
      <c r="A22" s="4">
        <v>21</v>
      </c>
      <c r="B22" s="29" t="s">
        <v>1618</v>
      </c>
      <c r="C22" s="29" t="s">
        <v>1618</v>
      </c>
      <c r="D22" s="30" t="s">
        <v>4372</v>
      </c>
      <c r="E22" s="117" t="s">
        <v>1690</v>
      </c>
      <c r="F22" s="923">
        <v>1</v>
      </c>
      <c r="G22" s="28">
        <v>4.56</v>
      </c>
    </row>
    <row r="23" spans="1:7" ht="33.000000">
      <c r="A23" s="4">
        <v>22</v>
      </c>
      <c r="B23" s="29" t="s">
        <v>1646</v>
      </c>
      <c r="C23" s="29" t="s">
        <v>1646</v>
      </c>
      <c r="D23" s="30" t="s">
        <v>1909</v>
      </c>
      <c r="E23" s="116" t="s">
        <v>1683</v>
      </c>
      <c r="F23" s="923">
        <v>1</v>
      </c>
      <c r="G23" s="28">
        <v>4.49</v>
      </c>
    </row>
    <row r="24" spans="1:7" ht="66.000000">
      <c r="A24" s="4">
        <v>23</v>
      </c>
      <c r="B24" s="29" t="s">
        <v>1738</v>
      </c>
      <c r="C24" s="29" t="s">
        <v>1738</v>
      </c>
      <c r="D24" s="30" t="s">
        <v>4373</v>
      </c>
      <c r="E24" s="125" t="s">
        <v>1962</v>
      </c>
      <c r="F24" s="923">
        <v>1</v>
      </c>
      <c r="G24" s="28">
        <v>4.45</v>
      </c>
    </row>
    <row r="25" spans="1:7" ht="33.000000">
      <c r="A25" s="4">
        <v>24</v>
      </c>
      <c r="B25" s="935" t="s">
        <v>2177</v>
      </c>
      <c r="C25" s="935" t="s">
        <v>1599</v>
      </c>
      <c r="D25" s="30" t="s">
        <v>1811</v>
      </c>
      <c r="E25" s="116" t="s">
        <v>1677</v>
      </c>
      <c r="F25" s="923">
        <v>1</v>
      </c>
      <c r="G25" s="28">
        <v>4.42</v>
      </c>
    </row>
    <row r="26" spans="1:7" ht="33.000000">
      <c r="A26" s="4">
        <v>25</v>
      </c>
      <c r="B26" s="29" t="s">
        <v>1628</v>
      </c>
      <c r="C26" s="29" t="s">
        <v>1628</v>
      </c>
      <c r="D26" s="30" t="s">
        <v>1871</v>
      </c>
      <c r="E26" s="117" t="s">
        <v>1699</v>
      </c>
      <c r="F26" s="924">
        <v>2</v>
      </c>
      <c r="G26" s="28">
        <v>4.41</v>
      </c>
    </row>
    <row r="27" spans="1:7" ht="49.500000">
      <c r="A27" s="4">
        <v>26</v>
      </c>
      <c r="B27" s="935" t="s">
        <v>3071</v>
      </c>
      <c r="C27" s="935" t="s">
        <v>1596</v>
      </c>
      <c r="D27" s="30" t="s">
        <v>1805</v>
      </c>
      <c r="E27" s="116" t="s">
        <v>1683</v>
      </c>
      <c r="F27" s="924">
        <v>2</v>
      </c>
      <c r="G27" s="28">
        <v>4.4</v>
      </c>
    </row>
    <row r="28" spans="1:7" ht="49.500000">
      <c r="A28" s="4">
        <v>27</v>
      </c>
      <c r="B28" s="978" t="s">
        <v>2219</v>
      </c>
      <c r="C28" s="980" t="s">
        <v>4488</v>
      </c>
      <c r="D28" s="30" t="s">
        <v>2220</v>
      </c>
      <c r="E28" s="116" t="s">
        <v>1683</v>
      </c>
      <c r="F28" s="924">
        <v>2</v>
      </c>
      <c r="G28" s="28">
        <v>4.4</v>
      </c>
    </row>
    <row r="29" spans="1:7" ht="49.500000">
      <c r="A29" s="4">
        <v>28</v>
      </c>
      <c r="B29" s="29" t="s">
        <v>275</v>
      </c>
      <c r="C29" s="29" t="s">
        <v>275</v>
      </c>
      <c r="D29" s="30" t="s">
        <v>4374</v>
      </c>
      <c r="E29" s="31" t="s">
        <v>1199</v>
      </c>
      <c r="F29" s="924">
        <v>2</v>
      </c>
      <c r="G29" s="28">
        <v>4.39</v>
      </c>
    </row>
    <row r="30" spans="1:7" ht="17.250000">
      <c r="A30" s="4">
        <v>29</v>
      </c>
      <c r="B30" s="29" t="s">
        <v>1647</v>
      </c>
      <c r="C30" s="29" t="s">
        <v>1647</v>
      </c>
      <c r="D30" s="30" t="s">
        <v>1911</v>
      </c>
      <c r="E30" s="117" t="s">
        <v>1705</v>
      </c>
      <c r="F30" s="924">
        <v>2</v>
      </c>
      <c r="G30" s="28">
        <v>4.38</v>
      </c>
    </row>
    <row r="31" spans="1:7" ht="49.500000">
      <c r="A31" s="4">
        <v>30</v>
      </c>
      <c r="B31" s="29" t="s">
        <v>2159</v>
      </c>
      <c r="C31" s="29" t="s">
        <v>2159</v>
      </c>
      <c r="D31" s="30" t="s">
        <v>4376</v>
      </c>
      <c r="E31" s="117" t="s">
        <v>2166</v>
      </c>
      <c r="F31" s="924">
        <v>2</v>
      </c>
      <c r="G31" s="28">
        <v>4.37</v>
      </c>
    </row>
    <row r="32" spans="1:7" ht="49.500000">
      <c r="A32" s="4">
        <v>31</v>
      </c>
      <c r="B32" s="935" t="s">
        <v>2222</v>
      </c>
      <c r="C32" s="935" t="s">
        <v>1620</v>
      </c>
      <c r="D32" s="30" t="s">
        <v>1853</v>
      </c>
      <c r="E32" s="117" t="s">
        <v>1691</v>
      </c>
      <c r="F32" s="924">
        <v>2</v>
      </c>
      <c r="G32" s="28">
        <v>4.34</v>
      </c>
    </row>
    <row r="33" spans="1:7" ht="33.000000">
      <c r="A33" s="4">
        <v>32</v>
      </c>
      <c r="B33" s="29" t="s">
        <v>2296</v>
      </c>
      <c r="C33" s="29" t="s">
        <v>2296</v>
      </c>
      <c r="D33" s="30" t="s">
        <v>2298</v>
      </c>
      <c r="E33" s="116" t="s">
        <v>2237</v>
      </c>
      <c r="F33" s="924">
        <v>2</v>
      </c>
      <c r="G33" s="28">
        <v>4.32</v>
      </c>
    </row>
    <row r="34" spans="1:7" ht="33.000000">
      <c r="A34" s="4">
        <v>33</v>
      </c>
      <c r="B34" s="29" t="s">
        <v>1619</v>
      </c>
      <c r="C34" s="29" t="s">
        <v>1619</v>
      </c>
      <c r="D34" s="30" t="s">
        <v>1851</v>
      </c>
      <c r="E34" s="117" t="s">
        <v>1476</v>
      </c>
      <c r="F34" s="924">
        <v>2</v>
      </c>
      <c r="G34" s="28">
        <v>4.31</v>
      </c>
    </row>
    <row r="35" spans="1:7" ht="17.250000">
      <c r="A35" s="4">
        <v>34</v>
      </c>
      <c r="B35" s="29" t="s">
        <v>620</v>
      </c>
      <c r="C35" s="29" t="s">
        <v>620</v>
      </c>
      <c r="D35" s="30" t="s">
        <v>2302</v>
      </c>
      <c r="E35" s="27" t="s">
        <v>1571</v>
      </c>
      <c r="F35" s="924">
        <v>2</v>
      </c>
      <c r="G35" s="28">
        <v>4.3</v>
      </c>
    </row>
    <row r="36" spans="1:7" ht="49.500000">
      <c r="A36" s="4">
        <v>35</v>
      </c>
      <c r="B36" s="29" t="s">
        <v>1438</v>
      </c>
      <c r="C36" s="29" t="s">
        <v>1438</v>
      </c>
      <c r="D36" s="30" t="s">
        <v>1525</v>
      </c>
      <c r="E36" s="27" t="s">
        <v>1565</v>
      </c>
      <c r="F36" s="924">
        <v>2</v>
      </c>
      <c r="G36" s="28">
        <v>4.29</v>
      </c>
    </row>
    <row r="37" spans="1:7" ht="49.500000">
      <c r="A37" s="4">
        <v>36</v>
      </c>
      <c r="B37" s="29" t="s">
        <v>2288</v>
      </c>
      <c r="C37" s="29" t="s">
        <v>2288</v>
      </c>
      <c r="D37" s="30" t="s">
        <v>2289</v>
      </c>
      <c r="E37" s="118" t="s">
        <v>1679</v>
      </c>
      <c r="F37" s="924">
        <v>2</v>
      </c>
      <c r="G37" s="28">
        <v>4.24</v>
      </c>
    </row>
    <row r="38" spans="1:7" ht="33.000000">
      <c r="A38" s="4">
        <v>37</v>
      </c>
      <c r="B38" s="29" t="s">
        <v>2165</v>
      </c>
      <c r="C38" s="29" t="s">
        <v>2165</v>
      </c>
      <c r="D38" s="30" t="s">
        <v>1774</v>
      </c>
      <c r="E38" s="116" t="s">
        <v>1678</v>
      </c>
      <c r="F38" s="924">
        <v>2</v>
      </c>
      <c r="G38" s="28">
        <v>4.22</v>
      </c>
    </row>
    <row r="39" spans="1:7" ht="49.500000">
      <c r="A39" s="4">
        <v>38</v>
      </c>
      <c r="B39" s="29" t="s">
        <v>515</v>
      </c>
      <c r="C39" s="29" t="s">
        <v>515</v>
      </c>
      <c r="D39" s="30" t="s">
        <v>1351</v>
      </c>
      <c r="E39" s="27" t="s">
        <v>1553</v>
      </c>
      <c r="F39" s="924">
        <v>2</v>
      </c>
      <c r="G39" s="28">
        <v>4.21</v>
      </c>
    </row>
    <row r="40" spans="1:7" ht="66.000000">
      <c r="A40" s="4">
        <v>39</v>
      </c>
      <c r="B40" s="61" t="s">
        <v>1200</v>
      </c>
      <c r="C40" s="61" t="s">
        <v>1200</v>
      </c>
      <c r="D40" s="30" t="s">
        <v>4377</v>
      </c>
      <c r="E40" s="31" t="s">
        <v>1201</v>
      </c>
      <c r="F40" s="924">
        <v>2</v>
      </c>
      <c r="G40" s="28">
        <v>4.18</v>
      </c>
    </row>
    <row r="41" spans="1:7" ht="33.000000">
      <c r="A41" s="4">
        <v>40</v>
      </c>
      <c r="B41" s="29" t="s">
        <v>1433</v>
      </c>
      <c r="C41" s="29" t="s">
        <v>1433</v>
      </c>
      <c r="D41" s="30" t="s">
        <v>1514</v>
      </c>
      <c r="E41" s="27" t="s">
        <v>1563</v>
      </c>
      <c r="F41" s="924">
        <v>2</v>
      </c>
      <c r="G41" s="28">
        <v>4.16</v>
      </c>
    </row>
    <row r="42" spans="1:7" ht="33.000000">
      <c r="A42" s="4">
        <v>41</v>
      </c>
      <c r="B42" s="978" t="s">
        <v>2281</v>
      </c>
      <c r="C42" s="980" t="s">
        <v>4508</v>
      </c>
      <c r="D42" s="30" t="s">
        <v>2285</v>
      </c>
      <c r="E42" s="118" t="s">
        <v>1679</v>
      </c>
      <c r="F42" s="924">
        <v>2</v>
      </c>
      <c r="G42" s="28">
        <v>4.14</v>
      </c>
    </row>
    <row r="43" spans="1:7" ht="33.000000">
      <c r="A43" s="4">
        <v>42</v>
      </c>
      <c r="B43" s="29" t="s">
        <v>2114</v>
      </c>
      <c r="C43" s="29" t="s">
        <v>2114</v>
      </c>
      <c r="D43" s="30" t="s">
        <v>2126</v>
      </c>
      <c r="E43" s="117" t="s">
        <v>2127</v>
      </c>
      <c r="F43" s="924">
        <v>2</v>
      </c>
      <c r="G43" s="28">
        <v>4.14</v>
      </c>
    </row>
    <row r="44" spans="1:7" ht="33.000000">
      <c r="A44" s="4">
        <v>43</v>
      </c>
      <c r="B44" s="29" t="s">
        <v>26</v>
      </c>
      <c r="C44" s="29" t="s">
        <v>26</v>
      </c>
      <c r="D44" s="30" t="s">
        <v>1334</v>
      </c>
      <c r="E44" s="27" t="s">
        <v>1549</v>
      </c>
      <c r="F44" s="924">
        <v>2</v>
      </c>
      <c r="G44" s="28">
        <v>4.12</v>
      </c>
    </row>
    <row r="45" spans="1:7" ht="49.500000">
      <c r="A45" s="4">
        <v>44</v>
      </c>
      <c r="B45" s="29" t="s">
        <v>1422</v>
      </c>
      <c r="C45" s="29" t="s">
        <v>1422</v>
      </c>
      <c r="D45" s="30" t="s">
        <v>4378</v>
      </c>
      <c r="E45" s="31" t="s">
        <v>1205</v>
      </c>
      <c r="F45" s="924">
        <v>2</v>
      </c>
      <c r="G45" s="28">
        <v>4.11</v>
      </c>
    </row>
    <row r="46" spans="1:7" ht="49.500000">
      <c r="A46" s="4">
        <v>45</v>
      </c>
      <c r="B46" s="978" t="s">
        <v>2131</v>
      </c>
      <c r="C46" s="980" t="s">
        <v>4506</v>
      </c>
      <c r="D46" s="30" t="s">
        <v>2138</v>
      </c>
      <c r="E46" s="117" t="s">
        <v>1958</v>
      </c>
      <c r="F46" s="924">
        <v>2</v>
      </c>
      <c r="G46" s="28">
        <v>4.07</v>
      </c>
    </row>
    <row r="47" spans="1:7" ht="33.000000">
      <c r="A47" s="4">
        <v>46</v>
      </c>
      <c r="B47" s="29" t="s">
        <v>1430</v>
      </c>
      <c r="C47" s="29" t="s">
        <v>1430</v>
      </c>
      <c r="D47" s="30" t="s">
        <v>1508</v>
      </c>
      <c r="E47" s="113" t="s">
        <v>1476</v>
      </c>
      <c r="F47" s="924">
        <v>2</v>
      </c>
      <c r="G47" s="28">
        <v>4.05</v>
      </c>
    </row>
    <row r="48" spans="1:7" ht="33.000000">
      <c r="A48" s="4">
        <v>47</v>
      </c>
      <c r="B48" s="29" t="s">
        <v>1429</v>
      </c>
      <c r="C48" s="29" t="s">
        <v>1429</v>
      </c>
      <c r="D48" s="30" t="s">
        <v>1507</v>
      </c>
      <c r="E48" s="31" t="s">
        <v>1199</v>
      </c>
      <c r="F48" s="924">
        <v>2</v>
      </c>
      <c r="G48" s="28">
        <v>4.04</v>
      </c>
    </row>
    <row r="49" spans="1:7" ht="33.000000">
      <c r="A49" s="4">
        <v>48</v>
      </c>
      <c r="B49" s="29" t="s">
        <v>1213</v>
      </c>
      <c r="C49" s="29" t="s">
        <v>1213</v>
      </c>
      <c r="D49" s="30" t="s">
        <v>1282</v>
      </c>
      <c r="E49" s="31" t="s">
        <v>1199</v>
      </c>
      <c r="F49" s="924">
        <v>2</v>
      </c>
      <c r="G49" s="28">
        <v>3.99</v>
      </c>
    </row>
    <row r="50" spans="1:7" ht="33.000000">
      <c r="A50" s="4">
        <v>49</v>
      </c>
      <c r="B50" s="978" t="s">
        <v>2164</v>
      </c>
      <c r="C50" s="980" t="s">
        <v>3497</v>
      </c>
      <c r="D50" s="30" t="s">
        <v>2170</v>
      </c>
      <c r="E50" s="117" t="s">
        <v>1670</v>
      </c>
      <c r="F50" s="924">
        <v>2</v>
      </c>
      <c r="G50" s="28">
        <v>3.97</v>
      </c>
    </row>
    <row r="51" spans="1:7" ht="49.500000">
      <c r="A51" s="4">
        <v>50</v>
      </c>
      <c r="B51" s="29" t="s">
        <v>1662</v>
      </c>
      <c r="C51" s="29" t="s">
        <v>1662</v>
      </c>
      <c r="D51" s="30" t="s">
        <v>1942</v>
      </c>
      <c r="E51" s="116" t="s">
        <v>1710</v>
      </c>
      <c r="F51" s="924">
        <v>2</v>
      </c>
      <c r="G51" s="28">
        <v>3.97</v>
      </c>
    </row>
    <row r="52" spans="1:7" ht="33.000000">
      <c r="A52" s="4">
        <v>51</v>
      </c>
      <c r="B52" s="978" t="s">
        <v>3438</v>
      </c>
      <c r="C52" s="980" t="s">
        <v>4502</v>
      </c>
      <c r="D52" s="30" t="s">
        <v>2168</v>
      </c>
      <c r="E52" s="116" t="s">
        <v>1947</v>
      </c>
      <c r="F52" s="924">
        <v>2</v>
      </c>
      <c r="G52" s="28">
        <v>3.95</v>
      </c>
    </row>
    <row r="53" spans="1:7" ht="49.500000">
      <c r="A53" s="4">
        <v>52</v>
      </c>
      <c r="B53" s="29" t="s">
        <v>1587</v>
      </c>
      <c r="C53" s="29" t="s">
        <v>1587</v>
      </c>
      <c r="D53" s="30" t="s">
        <v>4379</v>
      </c>
      <c r="E53" s="118" t="s">
        <v>1679</v>
      </c>
      <c r="F53" s="924">
        <v>2</v>
      </c>
      <c r="G53" s="28">
        <v>3.95</v>
      </c>
    </row>
    <row r="54" spans="1:7" ht="49.500000">
      <c r="A54" s="4">
        <v>53</v>
      </c>
      <c r="B54" s="29" t="s">
        <v>1627</v>
      </c>
      <c r="C54" s="29" t="s">
        <v>1627</v>
      </c>
      <c r="D54" s="30" t="s">
        <v>1869</v>
      </c>
      <c r="E54" s="117" t="s">
        <v>1698</v>
      </c>
      <c r="F54" s="924">
        <v>2</v>
      </c>
      <c r="G54" s="28">
        <v>3.92</v>
      </c>
    </row>
    <row r="55" spans="1:7" ht="33.000000">
      <c r="A55" s="4">
        <v>54</v>
      </c>
      <c r="B55" s="29" t="s">
        <v>1767</v>
      </c>
      <c r="C55" s="29" t="s">
        <v>1767</v>
      </c>
      <c r="D55" s="30" t="s">
        <v>2079</v>
      </c>
      <c r="E55" s="116" t="s">
        <v>1683</v>
      </c>
      <c r="F55" s="924">
        <v>2</v>
      </c>
      <c r="G55" s="28">
        <v>3.91</v>
      </c>
    </row>
    <row r="56" spans="1:7" ht="33.000000">
      <c r="A56" s="4">
        <v>55</v>
      </c>
      <c r="B56" s="29" t="s">
        <v>1625</v>
      </c>
      <c r="C56" s="29" t="s">
        <v>1625</v>
      </c>
      <c r="D56" s="30" t="s">
        <v>1864</v>
      </c>
      <c r="E56" s="116" t="s">
        <v>1694</v>
      </c>
      <c r="F56" s="924">
        <v>2</v>
      </c>
      <c r="G56" s="28">
        <v>3.89</v>
      </c>
    </row>
    <row r="57" spans="1:7" ht="33.000000">
      <c r="A57" s="4">
        <v>56</v>
      </c>
      <c r="B57" s="29" t="s">
        <v>1215</v>
      </c>
      <c r="C57" s="29" t="s">
        <v>1215</v>
      </c>
      <c r="D57" s="30" t="s">
        <v>1287</v>
      </c>
      <c r="E57" s="27" t="s">
        <v>1537</v>
      </c>
      <c r="F57" s="924">
        <v>2</v>
      </c>
      <c r="G57" s="28">
        <v>3.88</v>
      </c>
    </row>
    <row r="58" spans="1:7" ht="33.000000">
      <c r="A58" s="4">
        <v>57</v>
      </c>
      <c r="B58" s="935" t="s">
        <v>2693</v>
      </c>
      <c r="C58" s="935" t="s">
        <v>1431</v>
      </c>
      <c r="D58" s="30" t="s">
        <v>1510</v>
      </c>
      <c r="E58" s="113" t="s">
        <v>1477</v>
      </c>
      <c r="F58" s="924">
        <v>2</v>
      </c>
      <c r="G58" s="28">
        <v>3.85</v>
      </c>
    </row>
    <row r="59" spans="1:7" ht="33.000000">
      <c r="A59" s="4">
        <v>58</v>
      </c>
      <c r="B59" s="29" t="s">
        <v>1598</v>
      </c>
      <c r="C59" s="29" t="s">
        <v>1598</v>
      </c>
      <c r="D59" s="30" t="s">
        <v>1809</v>
      </c>
      <c r="E59" s="117" t="s">
        <v>1676</v>
      </c>
      <c r="F59" s="924">
        <v>2</v>
      </c>
      <c r="G59" s="28">
        <v>3.84</v>
      </c>
    </row>
    <row r="60" spans="1:7" ht="66.000000">
      <c r="A60" s="4">
        <v>59</v>
      </c>
      <c r="B60" s="978" t="s">
        <v>2179</v>
      </c>
      <c r="C60" s="980" t="s">
        <v>4496</v>
      </c>
      <c r="D60" s="30" t="s">
        <v>4380</v>
      </c>
      <c r="E60" s="117" t="s">
        <v>2181</v>
      </c>
      <c r="F60" s="924">
        <v>2</v>
      </c>
      <c r="G60" s="28">
        <v>3.84</v>
      </c>
    </row>
    <row r="61" spans="1:7" ht="49.500000">
      <c r="A61" s="4">
        <v>60</v>
      </c>
      <c r="B61" s="935" t="s">
        <v>2157</v>
      </c>
      <c r="C61" s="935" t="s">
        <v>1661</v>
      </c>
      <c r="D61" s="30" t="s">
        <v>1941</v>
      </c>
      <c r="E61" s="118" t="s">
        <v>1679</v>
      </c>
      <c r="F61" s="924">
        <v>2</v>
      </c>
      <c r="G61" s="28">
        <v>3.83</v>
      </c>
    </row>
    <row r="62" spans="1:7" ht="33.000000">
      <c r="A62" s="4">
        <v>61</v>
      </c>
      <c r="B62" s="29" t="s">
        <v>51</v>
      </c>
      <c r="C62" s="29" t="s">
        <v>51</v>
      </c>
      <c r="D62" s="30" t="s">
        <v>1290</v>
      </c>
      <c r="E62" s="31" t="s">
        <v>1199</v>
      </c>
      <c r="F62" s="924">
        <v>2</v>
      </c>
      <c r="G62" s="28">
        <v>3.81</v>
      </c>
    </row>
    <row r="63" spans="1:7" ht="33.000000">
      <c r="A63" s="4">
        <v>62</v>
      </c>
      <c r="B63" s="935" t="s">
        <v>3086</v>
      </c>
      <c r="C63" s="935" t="s">
        <v>1607</v>
      </c>
      <c r="D63" s="30" t="s">
        <v>1827</v>
      </c>
      <c r="E63" s="116" t="s">
        <v>1678</v>
      </c>
      <c r="F63" s="924">
        <v>2</v>
      </c>
      <c r="G63" s="28">
        <v>3.81</v>
      </c>
    </row>
    <row r="64" spans="1:7" ht="33.000000">
      <c r="A64" s="4">
        <v>63</v>
      </c>
      <c r="B64" s="29" t="s">
        <v>594</v>
      </c>
      <c r="C64" s="29" t="s">
        <v>594</v>
      </c>
      <c r="D64" s="30" t="s">
        <v>4381</v>
      </c>
      <c r="E64" s="27" t="s">
        <v>1558</v>
      </c>
      <c r="F64" s="924">
        <v>2</v>
      </c>
      <c r="G64" s="28">
        <v>3.79</v>
      </c>
    </row>
    <row r="65" spans="1:7" ht="49.500000">
      <c r="A65" s="4">
        <v>64</v>
      </c>
      <c r="B65" s="935" t="s">
        <v>2300</v>
      </c>
      <c r="C65" s="935" t="s">
        <v>1441</v>
      </c>
      <c r="D65" s="30" t="s">
        <v>4382</v>
      </c>
      <c r="E65" s="31" t="s">
        <v>1527</v>
      </c>
      <c r="F65" s="924">
        <v>2</v>
      </c>
      <c r="G65" s="28">
        <v>3.79</v>
      </c>
    </row>
    <row r="66" spans="1:7" ht="49.500000">
      <c r="A66" s="4">
        <v>65</v>
      </c>
      <c r="B66" s="29" t="s">
        <v>1591</v>
      </c>
      <c r="C66" s="29" t="s">
        <v>1591</v>
      </c>
      <c r="D66" s="30" t="s">
        <v>4383</v>
      </c>
      <c r="E66" s="116" t="s">
        <v>1682</v>
      </c>
      <c r="F66" s="924">
        <v>2</v>
      </c>
      <c r="G66" s="28">
        <v>3.78</v>
      </c>
    </row>
    <row r="67" spans="1:7" ht="33.000000">
      <c r="A67" s="4">
        <v>66</v>
      </c>
      <c r="B67" s="29" t="s">
        <v>1204</v>
      </c>
      <c r="C67" s="29" t="s">
        <v>1204</v>
      </c>
      <c r="D67" s="30" t="s">
        <v>1270</v>
      </c>
      <c r="E67" s="114" t="s">
        <v>1534</v>
      </c>
      <c r="F67" s="924">
        <v>2</v>
      </c>
      <c r="G67" s="28">
        <v>3.78</v>
      </c>
    </row>
    <row r="68" spans="1:7" ht="33.000000">
      <c r="A68" s="4">
        <v>67</v>
      </c>
      <c r="B68" s="29" t="s">
        <v>1720</v>
      </c>
      <c r="C68" s="29" t="s">
        <v>1720</v>
      </c>
      <c r="D68" s="30" t="s">
        <v>1985</v>
      </c>
      <c r="E68" s="116" t="s">
        <v>1946</v>
      </c>
      <c r="F68" s="924">
        <v>2</v>
      </c>
      <c r="G68" s="28">
        <v>3.74</v>
      </c>
    </row>
    <row r="69" spans="1:7" ht="33.000000">
      <c r="A69" s="4">
        <v>68</v>
      </c>
      <c r="B69" s="29" t="s">
        <v>1230</v>
      </c>
      <c r="C69" s="29" t="s">
        <v>1230</v>
      </c>
      <c r="D69" s="30" t="s">
        <v>1321</v>
      </c>
      <c r="E69" s="31" t="s">
        <v>1199</v>
      </c>
      <c r="F69" s="924">
        <v>2</v>
      </c>
      <c r="G69" s="28">
        <v>3.73</v>
      </c>
    </row>
    <row r="70" spans="1:7" ht="49.500000">
      <c r="A70" s="4">
        <v>69</v>
      </c>
      <c r="B70" s="29" t="s">
        <v>77</v>
      </c>
      <c r="C70" s="29" t="s">
        <v>77</v>
      </c>
      <c r="D70" s="30" t="s">
        <v>4384</v>
      </c>
      <c r="E70" s="27" t="s">
        <v>1552</v>
      </c>
      <c r="F70" s="924">
        <v>2</v>
      </c>
      <c r="G70" s="28">
        <v>3.71</v>
      </c>
    </row>
    <row r="71" spans="1:7" ht="33.000000">
      <c r="A71" s="4">
        <v>70</v>
      </c>
      <c r="B71" s="29" t="s">
        <v>592</v>
      </c>
      <c r="C71" s="29" t="s">
        <v>592</v>
      </c>
      <c r="D71" s="30" t="s">
        <v>2314</v>
      </c>
      <c r="E71" s="31" t="s">
        <v>1205</v>
      </c>
      <c r="F71" s="924">
        <v>2</v>
      </c>
      <c r="G71" s="28">
        <v>3.71</v>
      </c>
    </row>
    <row r="72" spans="1:7" ht="33.000000">
      <c r="A72" s="4">
        <v>71</v>
      </c>
      <c r="B72" s="29" t="s">
        <v>926</v>
      </c>
      <c r="C72" s="29" t="s">
        <v>926</v>
      </c>
      <c r="D72" s="30" t="s">
        <v>1303</v>
      </c>
      <c r="E72" s="27" t="s">
        <v>1541</v>
      </c>
      <c r="F72" s="924">
        <v>2</v>
      </c>
      <c r="G72" s="28">
        <v>3.7</v>
      </c>
    </row>
    <row r="73" spans="1:7" ht="33.000000">
      <c r="A73" s="4">
        <v>72</v>
      </c>
      <c r="B73" s="29" t="s">
        <v>2311</v>
      </c>
      <c r="C73" s="29" t="s">
        <v>2311</v>
      </c>
      <c r="D73" s="30" t="s">
        <v>2312</v>
      </c>
      <c r="E73" s="116" t="s">
        <v>2313</v>
      </c>
      <c r="F73" s="924">
        <v>2</v>
      </c>
      <c r="G73" s="28">
        <v>3.7</v>
      </c>
    </row>
    <row r="74" spans="1:7" ht="49.500000">
      <c r="A74" s="4">
        <v>73</v>
      </c>
      <c r="B74" s="29" t="s">
        <v>81</v>
      </c>
      <c r="C74" s="29" t="s">
        <v>81</v>
      </c>
      <c r="D74" s="30" t="s">
        <v>1347</v>
      </c>
      <c r="E74" s="31" t="s">
        <v>1211</v>
      </c>
      <c r="F74" s="924">
        <v>2</v>
      </c>
      <c r="G74" s="28">
        <v>3.67</v>
      </c>
    </row>
    <row r="75" spans="1:7" ht="33.000000">
      <c r="A75" s="4">
        <v>74</v>
      </c>
      <c r="B75" s="29" t="s">
        <v>4124</v>
      </c>
      <c r="C75" s="29" t="s">
        <v>4124</v>
      </c>
      <c r="D75" s="30" t="s">
        <v>4310</v>
      </c>
      <c r="E75" s="116" t="s">
        <v>4311</v>
      </c>
      <c r="F75" s="924">
        <v>2</v>
      </c>
      <c r="G75" s="28">
        <v>3.67</v>
      </c>
    </row>
    <row r="76" spans="1:7" ht="66.000000">
      <c r="A76" s="4">
        <v>75</v>
      </c>
      <c r="B76" s="29" t="s">
        <v>1249</v>
      </c>
      <c r="C76" s="29" t="s">
        <v>1249</v>
      </c>
      <c r="D76" s="30" t="s">
        <v>4385</v>
      </c>
      <c r="E76" s="27" t="s">
        <v>1556</v>
      </c>
      <c r="F76" s="925">
        <v>3</v>
      </c>
      <c r="G76" s="28">
        <v>3.66</v>
      </c>
    </row>
    <row r="77" spans="1:7" ht="49.500000">
      <c r="A77" s="4">
        <v>76</v>
      </c>
      <c r="B77" s="29" t="s">
        <v>1718</v>
      </c>
      <c r="C77" s="29" t="s">
        <v>1718</v>
      </c>
      <c r="D77" s="30" t="s">
        <v>1981</v>
      </c>
      <c r="E77" s="116" t="s">
        <v>1683</v>
      </c>
      <c r="F77" s="925">
        <v>3</v>
      </c>
      <c r="G77" s="28">
        <v>3.65</v>
      </c>
    </row>
    <row r="78" spans="1:7" ht="49.500000">
      <c r="A78" s="4">
        <v>77</v>
      </c>
      <c r="B78" s="29" t="s">
        <v>187</v>
      </c>
      <c r="C78" s="29" t="s">
        <v>187</v>
      </c>
      <c r="D78" s="30" t="s">
        <v>1293</v>
      </c>
      <c r="E78" s="113" t="s">
        <v>1405</v>
      </c>
      <c r="F78" s="925">
        <v>3</v>
      </c>
      <c r="G78" s="28">
        <v>3.62</v>
      </c>
    </row>
    <row r="79" spans="1:7" ht="33.000000">
      <c r="A79" s="4">
        <v>78</v>
      </c>
      <c r="B79" s="29" t="s">
        <v>1722</v>
      </c>
      <c r="C79" s="29" t="s">
        <v>1722</v>
      </c>
      <c r="D79" s="30" t="s">
        <v>1989</v>
      </c>
      <c r="E79" s="116" t="s">
        <v>1946</v>
      </c>
      <c r="F79" s="925">
        <v>3</v>
      </c>
      <c r="G79" s="28">
        <v>3.62</v>
      </c>
    </row>
    <row r="80" spans="1:7" ht="66.000000">
      <c r="A80" s="4">
        <v>79</v>
      </c>
      <c r="B80" s="935" t="s">
        <v>2248</v>
      </c>
      <c r="C80" s="935" t="s">
        <v>1633</v>
      </c>
      <c r="D80" s="30" t="s">
        <v>4386</v>
      </c>
      <c r="E80" s="116" t="s">
        <v>1683</v>
      </c>
      <c r="F80" s="925">
        <v>3</v>
      </c>
      <c r="G80" s="28">
        <v>3.6</v>
      </c>
    </row>
    <row r="81" spans="1:7" ht="49.500000">
      <c r="A81" s="4">
        <v>80</v>
      </c>
      <c r="B81" s="29" t="s">
        <v>1634</v>
      </c>
      <c r="C81" s="29" t="s">
        <v>1634</v>
      </c>
      <c r="D81" s="30" t="s">
        <v>1884</v>
      </c>
      <c r="E81" s="117" t="s">
        <v>1476</v>
      </c>
      <c r="F81" s="925">
        <v>3</v>
      </c>
      <c r="G81" s="28">
        <v>3.58</v>
      </c>
    </row>
    <row r="82" spans="1:7" ht="33.000000">
      <c r="A82" s="4">
        <v>81</v>
      </c>
      <c r="B82" s="29" t="s">
        <v>4125</v>
      </c>
      <c r="C82" s="29" t="s">
        <v>4125</v>
      </c>
      <c r="D82" s="30" t="s">
        <v>4306</v>
      </c>
      <c r="E82" s="116" t="s">
        <v>4309</v>
      </c>
      <c r="F82" s="925">
        <v>3</v>
      </c>
      <c r="G82" s="28">
        <v>3.57</v>
      </c>
    </row>
    <row r="83" spans="1:7" ht="33.000000">
      <c r="A83" s="4">
        <v>82</v>
      </c>
      <c r="B83" s="29" t="s">
        <v>1623</v>
      </c>
      <c r="C83" s="29" t="s">
        <v>1623</v>
      </c>
      <c r="D83" s="30" t="s">
        <v>1860</v>
      </c>
      <c r="E83" s="116" t="s">
        <v>1696</v>
      </c>
      <c r="F83" s="925">
        <v>3</v>
      </c>
      <c r="G83" s="28">
        <v>3.52</v>
      </c>
    </row>
    <row r="84" spans="1:7" ht="33.000000">
      <c r="A84" s="4">
        <v>83</v>
      </c>
      <c r="B84" s="29" t="s">
        <v>1444</v>
      </c>
      <c r="C84" s="29" t="s">
        <v>1444</v>
      </c>
      <c r="D84" s="30" t="s">
        <v>2706</v>
      </c>
      <c r="E84" s="113" t="s">
        <v>1481</v>
      </c>
      <c r="F84" s="925">
        <v>3</v>
      </c>
      <c r="G84" s="28">
        <v>3.5</v>
      </c>
    </row>
    <row r="85" spans="1:7" ht="49.500000">
      <c r="A85" s="4">
        <v>84</v>
      </c>
      <c r="B85" s="29" t="s">
        <v>1593</v>
      </c>
      <c r="C85" s="29" t="s">
        <v>1593</v>
      </c>
      <c r="D85" s="30" t="s">
        <v>1799</v>
      </c>
      <c r="E85" s="117" t="s">
        <v>1674</v>
      </c>
      <c r="F85" s="925">
        <v>3</v>
      </c>
      <c r="G85" s="28">
        <v>3.49</v>
      </c>
    </row>
    <row r="86" spans="1:7" ht="33.000000">
      <c r="A86" s="4">
        <v>85</v>
      </c>
      <c r="B86" s="978" t="s">
        <v>2197</v>
      </c>
      <c r="C86" s="980" t="s">
        <v>3109</v>
      </c>
      <c r="D86" s="30" t="s">
        <v>2202</v>
      </c>
      <c r="E86" s="116" t="s">
        <v>2201</v>
      </c>
      <c r="F86" s="925">
        <v>3</v>
      </c>
      <c r="G86" s="28">
        <v>3.48</v>
      </c>
    </row>
    <row r="87" spans="1:7" ht="33.000000">
      <c r="A87" s="4">
        <v>86</v>
      </c>
      <c r="B87" s="29" t="s">
        <v>1448</v>
      </c>
      <c r="C87" s="29" t="s">
        <v>1448</v>
      </c>
      <c r="D87" s="30" t="s">
        <v>2187</v>
      </c>
      <c r="E87" s="31" t="s">
        <v>1211</v>
      </c>
      <c r="F87" s="925">
        <v>3</v>
      </c>
      <c r="G87" s="28">
        <v>3.41</v>
      </c>
    </row>
    <row r="88" spans="1:7" ht="49.500000">
      <c r="A88" s="4">
        <v>87</v>
      </c>
      <c r="B88" s="29" t="s">
        <v>1629</v>
      </c>
      <c r="C88" s="29" t="s">
        <v>1629</v>
      </c>
      <c r="D88" s="30" t="s">
        <v>4387</v>
      </c>
      <c r="E88" s="117" t="s">
        <v>1700</v>
      </c>
      <c r="F88" s="925">
        <v>3</v>
      </c>
      <c r="G88" s="28">
        <v>3.34</v>
      </c>
    </row>
    <row r="89" spans="1:7" ht="33.000000">
      <c r="A89" s="4">
        <v>88</v>
      </c>
      <c r="B89" s="978" t="s">
        <v>2099</v>
      </c>
      <c r="C89" s="980" t="s">
        <v>4072</v>
      </c>
      <c r="D89" s="30" t="s">
        <v>2102</v>
      </c>
      <c r="E89" s="116" t="s">
        <v>2103</v>
      </c>
      <c r="F89" s="925">
        <v>3</v>
      </c>
      <c r="G89" s="28">
        <v>3.32</v>
      </c>
    </row>
    <row r="90" spans="1:7" ht="17.250000">
      <c r="A90" s="4">
        <v>89</v>
      </c>
      <c r="B90" s="29" t="s">
        <v>1589</v>
      </c>
      <c r="C90" s="29" t="s">
        <v>1589</v>
      </c>
      <c r="D90" s="30" t="s">
        <v>1790</v>
      </c>
      <c r="E90" s="118" t="s">
        <v>1679</v>
      </c>
      <c r="F90" s="925">
        <v>3</v>
      </c>
      <c r="G90" s="28">
        <v>3.3</v>
      </c>
    </row>
    <row r="91" spans="1:7" ht="17.250000">
      <c r="A91" s="4">
        <v>90</v>
      </c>
      <c r="B91" s="29" t="s">
        <v>1581</v>
      </c>
      <c r="C91" s="29" t="s">
        <v>1581</v>
      </c>
      <c r="D91" s="30" t="s">
        <v>1771</v>
      </c>
      <c r="E91" s="116" t="s">
        <v>1677</v>
      </c>
      <c r="F91" s="925">
        <v>3</v>
      </c>
      <c r="G91" s="28">
        <v>3.26</v>
      </c>
    </row>
    <row r="92" spans="1:7" ht="17.250000">
      <c r="A92" s="4">
        <v>91</v>
      </c>
      <c r="B92" s="29" t="s">
        <v>1196</v>
      </c>
      <c r="C92" s="29" t="s">
        <v>1196</v>
      </c>
      <c r="D92" s="30" t="s">
        <v>1263</v>
      </c>
      <c r="E92" s="31" t="s">
        <v>1197</v>
      </c>
      <c r="F92" s="925">
        <v>3</v>
      </c>
      <c r="G92" s="28">
        <v>3.25</v>
      </c>
    </row>
    <row r="93" spans="1:7" ht="49.500000">
      <c r="A93" s="4">
        <v>92</v>
      </c>
      <c r="B93" s="29" t="s">
        <v>1739</v>
      </c>
      <c r="C93" s="29" t="s">
        <v>1739</v>
      </c>
      <c r="D93" s="30" t="s">
        <v>4388</v>
      </c>
      <c r="E93" s="117" t="s">
        <v>1963</v>
      </c>
      <c r="F93" s="925">
        <v>3</v>
      </c>
      <c r="G93" s="28">
        <v>3.25</v>
      </c>
    </row>
    <row r="94" spans="1:7" ht="33.000000">
      <c r="A94" s="4">
        <v>93</v>
      </c>
      <c r="B94" s="29" t="s">
        <v>2110</v>
      </c>
      <c r="C94" s="29" t="s">
        <v>2110</v>
      </c>
      <c r="D94" s="30" t="s">
        <v>2117</v>
      </c>
      <c r="E94" s="116" t="s">
        <v>1703</v>
      </c>
      <c r="F94" s="925">
        <v>3</v>
      </c>
      <c r="G94" s="28">
        <v>3.25</v>
      </c>
    </row>
    <row r="95" spans="1:7" ht="33.000000">
      <c r="A95" s="4">
        <v>94</v>
      </c>
      <c r="B95" s="29" t="s">
        <v>189</v>
      </c>
      <c r="C95" s="29" t="s">
        <v>189</v>
      </c>
      <c r="D95" s="30" t="s">
        <v>2211</v>
      </c>
      <c r="E95" s="31" t="s">
        <v>1205</v>
      </c>
      <c r="F95" s="925">
        <v>3</v>
      </c>
      <c r="G95" s="28">
        <v>3.24</v>
      </c>
    </row>
    <row r="96" spans="1:7" ht="33.000000">
      <c r="A96" s="4">
        <v>95</v>
      </c>
      <c r="B96" s="978" t="s">
        <v>2113</v>
      </c>
      <c r="C96" s="980" t="s">
        <v>4504</v>
      </c>
      <c r="D96" s="30" t="s">
        <v>2122</v>
      </c>
      <c r="E96" s="117" t="s">
        <v>2124</v>
      </c>
      <c r="F96" s="925">
        <v>3</v>
      </c>
      <c r="G96" s="28">
        <v>3.21</v>
      </c>
    </row>
    <row r="97" spans="1:7" ht="49.500000">
      <c r="A97" s="4">
        <v>96</v>
      </c>
      <c r="B97" s="29" t="s">
        <v>2301</v>
      </c>
      <c r="C97" s="29" t="s">
        <v>2301</v>
      </c>
      <c r="D97" s="30" t="s">
        <v>2305</v>
      </c>
      <c r="E97" s="116" t="s">
        <v>2304</v>
      </c>
      <c r="F97" s="925">
        <v>3</v>
      </c>
      <c r="G97" s="28">
        <v>3.21</v>
      </c>
    </row>
    <row r="98" spans="1:7" ht="49.500000">
      <c r="A98" s="4">
        <v>97</v>
      </c>
      <c r="B98" s="29" t="s">
        <v>2240</v>
      </c>
      <c r="C98" s="29" t="s">
        <v>2240</v>
      </c>
      <c r="D98" s="30" t="s">
        <v>2243</v>
      </c>
      <c r="E98" s="116" t="s">
        <v>1686</v>
      </c>
      <c r="F98" s="925">
        <v>3</v>
      </c>
      <c r="G98" s="28">
        <v>3.18</v>
      </c>
    </row>
    <row r="99" spans="1:7" ht="66.000000">
      <c r="A99" s="4">
        <v>98</v>
      </c>
      <c r="B99" s="978" t="s">
        <v>2424</v>
      </c>
      <c r="C99" s="980" t="s">
        <v>4489</v>
      </c>
      <c r="D99" s="30" t="s">
        <v>2426</v>
      </c>
      <c r="E99" s="116" t="s">
        <v>1685</v>
      </c>
      <c r="F99" s="925">
        <v>3</v>
      </c>
      <c r="G99" s="28">
        <v>3.18</v>
      </c>
    </row>
    <row r="100" spans="1:7" ht="49.500000">
      <c r="A100" s="4">
        <v>99</v>
      </c>
      <c r="B100" s="29" t="s">
        <v>1615</v>
      </c>
      <c r="C100" s="29" t="s">
        <v>1615</v>
      </c>
      <c r="D100" s="30" t="s">
        <v>4389</v>
      </c>
      <c r="E100" s="116" t="s">
        <v>1689</v>
      </c>
      <c r="F100" s="925">
        <v>3</v>
      </c>
      <c r="G100" s="28">
        <v>3.12</v>
      </c>
    </row>
    <row r="101" spans="1:7" ht="33.000000">
      <c r="A101" s="4">
        <v>100</v>
      </c>
      <c r="B101" s="29" t="s">
        <v>505</v>
      </c>
      <c r="C101" s="29" t="s">
        <v>505</v>
      </c>
      <c r="D101" s="30" t="s">
        <v>1332</v>
      </c>
      <c r="E101" s="31" t="s">
        <v>1072</v>
      </c>
      <c r="F101" s="925">
        <v>3</v>
      </c>
      <c r="G101" s="28">
        <v>3.12</v>
      </c>
    </row>
    <row r="102" spans="1:7" ht="33.000000">
      <c r="A102" s="4">
        <v>101</v>
      </c>
      <c r="B102" s="29" t="s">
        <v>335</v>
      </c>
      <c r="C102" s="29" t="s">
        <v>335</v>
      </c>
      <c r="D102" s="30" t="s">
        <v>1315</v>
      </c>
      <c r="E102" s="31" t="s">
        <v>1216</v>
      </c>
      <c r="F102" s="925">
        <v>3</v>
      </c>
      <c r="G102" s="28">
        <v>3.07</v>
      </c>
    </row>
    <row r="103" spans="1:7" ht="33.000000">
      <c r="A103" s="4">
        <v>102</v>
      </c>
      <c r="B103" s="29" t="s">
        <v>2141</v>
      </c>
      <c r="C103" s="29" t="s">
        <v>2141</v>
      </c>
      <c r="D103" s="30" t="s">
        <v>2150</v>
      </c>
      <c r="E103" s="115" t="s">
        <v>2085</v>
      </c>
      <c r="F103" s="925">
        <v>3</v>
      </c>
      <c r="G103" s="28">
        <v>3.06</v>
      </c>
    </row>
    <row r="104" spans="1:7" ht="33.000000">
      <c r="A104" s="4">
        <v>103</v>
      </c>
      <c r="B104" s="935" t="s">
        <v>3138</v>
      </c>
      <c r="C104" s="935" t="s">
        <v>1586</v>
      </c>
      <c r="D104" s="30" t="s">
        <v>4390</v>
      </c>
      <c r="E104" s="117" t="s">
        <v>1673</v>
      </c>
      <c r="F104" s="925">
        <v>3</v>
      </c>
      <c r="G104" s="28">
        <v>3.04</v>
      </c>
    </row>
    <row r="105" spans="1:7" ht="49.500000">
      <c r="A105" s="4">
        <v>104</v>
      </c>
      <c r="B105" s="29" t="s">
        <v>1649</v>
      </c>
      <c r="C105" s="29" t="s">
        <v>1649</v>
      </c>
      <c r="D105" s="30" t="s">
        <v>2336</v>
      </c>
      <c r="E105" s="118" t="s">
        <v>1679</v>
      </c>
      <c r="F105" s="925">
        <v>3</v>
      </c>
      <c r="G105" s="28">
        <v>2.98</v>
      </c>
    </row>
    <row r="106" spans="1:7" ht="33.000000">
      <c r="A106" s="4">
        <v>105</v>
      </c>
      <c r="B106" s="29" t="s">
        <v>1605</v>
      </c>
      <c r="C106" s="29" t="s">
        <v>1605</v>
      </c>
      <c r="D106" s="30" t="s">
        <v>1823</v>
      </c>
      <c r="E106" s="118" t="s">
        <v>1679</v>
      </c>
      <c r="F106" s="925">
        <v>3</v>
      </c>
      <c r="G106" s="28">
        <v>2.98</v>
      </c>
    </row>
    <row r="107" spans="1:7" ht="49.500000">
      <c r="A107" s="4">
        <v>106</v>
      </c>
      <c r="B107" s="29" t="s">
        <v>1758</v>
      </c>
      <c r="C107" s="29" t="s">
        <v>1758</v>
      </c>
      <c r="D107" s="30" t="s">
        <v>2061</v>
      </c>
      <c r="E107" s="118" t="s">
        <v>1679</v>
      </c>
      <c r="F107" s="925">
        <v>3</v>
      </c>
      <c r="G107" s="28">
        <v>2.98</v>
      </c>
    </row>
    <row r="108" spans="1:7" ht="33.000000">
      <c r="A108" s="4">
        <v>107</v>
      </c>
      <c r="B108" s="29" t="s">
        <v>2224</v>
      </c>
      <c r="C108" s="29" t="s">
        <v>2224</v>
      </c>
      <c r="D108" s="30" t="s">
        <v>2228</v>
      </c>
      <c r="E108" s="117" t="s">
        <v>2230</v>
      </c>
      <c r="F108" s="925">
        <v>3</v>
      </c>
      <c r="G108" s="28">
        <v>2.97</v>
      </c>
    </row>
    <row r="109" spans="1:7" ht="33.000000">
      <c r="A109" s="4">
        <v>108</v>
      </c>
      <c r="B109" s="29" t="s">
        <v>1652</v>
      </c>
      <c r="C109" s="29" t="s">
        <v>1652</v>
      </c>
      <c r="D109" s="30" t="s">
        <v>1923</v>
      </c>
      <c r="E109" s="117" t="s">
        <v>1707</v>
      </c>
      <c r="F109" s="925">
        <v>3</v>
      </c>
      <c r="G109" s="28">
        <v>2.97</v>
      </c>
    </row>
    <row r="110" spans="1:7" ht="33.000000">
      <c r="A110" s="4">
        <v>109</v>
      </c>
      <c r="B110" s="978" t="s">
        <v>2280</v>
      </c>
      <c r="C110" s="980" t="s">
        <v>4500</v>
      </c>
      <c r="D110" s="30" t="s">
        <v>2284</v>
      </c>
      <c r="E110" s="117" t="s">
        <v>1673</v>
      </c>
      <c r="F110" s="925">
        <v>3</v>
      </c>
      <c r="G110" s="28">
        <v>2.95</v>
      </c>
    </row>
    <row r="111" spans="1:7" ht="33.000000">
      <c r="A111" s="4">
        <v>110</v>
      </c>
      <c r="B111" s="29" t="s">
        <v>1657</v>
      </c>
      <c r="C111" s="29" t="s">
        <v>1657</v>
      </c>
      <c r="D111" s="30" t="s">
        <v>1933</v>
      </c>
      <c r="E111" s="116" t="s">
        <v>1678</v>
      </c>
      <c r="F111" s="925">
        <v>3</v>
      </c>
      <c r="G111" s="28">
        <v>2.94</v>
      </c>
    </row>
    <row r="112" spans="1:7" ht="66.000000">
      <c r="A112" s="4">
        <v>111</v>
      </c>
      <c r="B112" s="29" t="s">
        <v>1732</v>
      </c>
      <c r="C112" s="29" t="s">
        <v>1732</v>
      </c>
      <c r="D112" s="30" t="s">
        <v>4391</v>
      </c>
      <c r="E112" s="116" t="s">
        <v>1948</v>
      </c>
      <c r="F112" s="925">
        <v>3</v>
      </c>
      <c r="G112" s="28">
        <v>2.93</v>
      </c>
    </row>
    <row r="113" spans="1:7" ht="33.000000">
      <c r="A113" s="4">
        <v>112</v>
      </c>
      <c r="B113" s="29" t="s">
        <v>1624</v>
      </c>
      <c r="C113" s="29" t="s">
        <v>1624</v>
      </c>
      <c r="D113" s="30" t="s">
        <v>1862</v>
      </c>
      <c r="E113" s="117" t="s">
        <v>1693</v>
      </c>
      <c r="F113" s="925">
        <v>3</v>
      </c>
      <c r="G113" s="28">
        <v>2.92</v>
      </c>
    </row>
    <row r="114" spans="1:7" ht="66.000000">
      <c r="A114" s="4">
        <v>113</v>
      </c>
      <c r="B114" s="29" t="s">
        <v>1228</v>
      </c>
      <c r="C114" s="29" t="s">
        <v>1228</v>
      </c>
      <c r="D114" s="30" t="s">
        <v>4392</v>
      </c>
      <c r="E114" s="27" t="s">
        <v>1544</v>
      </c>
      <c r="F114" s="925">
        <v>3</v>
      </c>
      <c r="G114" s="28">
        <v>2.91</v>
      </c>
    </row>
    <row r="115" spans="1:7" ht="33.000000">
      <c r="A115" s="4">
        <v>114</v>
      </c>
      <c r="B115" s="29" t="s">
        <v>1733</v>
      </c>
      <c r="C115" s="29" t="s">
        <v>1733</v>
      </c>
      <c r="D115" s="30" t="s">
        <v>2013</v>
      </c>
      <c r="E115" s="116" t="s">
        <v>1683</v>
      </c>
      <c r="F115" s="925">
        <v>3</v>
      </c>
      <c r="G115" s="28">
        <v>2.82</v>
      </c>
    </row>
    <row r="116" spans="1:7" ht="33.000000">
      <c r="A116" s="4">
        <v>115</v>
      </c>
      <c r="B116" s="29" t="s">
        <v>1616</v>
      </c>
      <c r="C116" s="29" t="s">
        <v>1616</v>
      </c>
      <c r="D116" s="30" t="s">
        <v>1845</v>
      </c>
      <c r="E116" s="117" t="s">
        <v>1668</v>
      </c>
      <c r="F116" s="925">
        <v>3</v>
      </c>
      <c r="G116" s="28">
        <v>2.78</v>
      </c>
    </row>
    <row r="117" spans="1:7" ht="33.000000">
      <c r="A117" s="4">
        <v>116</v>
      </c>
      <c r="B117" s="29" t="s">
        <v>1663</v>
      </c>
      <c r="C117" s="29" t="s">
        <v>1663</v>
      </c>
      <c r="D117" s="30" t="s">
        <v>1944</v>
      </c>
      <c r="E117" s="117" t="s">
        <v>1707</v>
      </c>
      <c r="F117" s="925">
        <v>3</v>
      </c>
      <c r="G117" s="28">
        <v>2.76</v>
      </c>
    </row>
    <row r="118" spans="1:7" ht="33.000000">
      <c r="A118" s="4">
        <v>117</v>
      </c>
      <c r="B118" s="29" t="s">
        <v>607</v>
      </c>
      <c r="C118" s="29" t="s">
        <v>607</v>
      </c>
      <c r="D118" s="30" t="s">
        <v>1299</v>
      </c>
      <c r="E118" s="27" t="s">
        <v>1539</v>
      </c>
      <c r="F118" s="925">
        <v>3</v>
      </c>
      <c r="G118" s="28">
        <v>2.75</v>
      </c>
    </row>
    <row r="119" spans="1:7" ht="66.000000">
      <c r="A119" s="4">
        <v>118</v>
      </c>
      <c r="B119" s="29" t="s">
        <v>1241</v>
      </c>
      <c r="C119" s="29" t="s">
        <v>1241</v>
      </c>
      <c r="D119" s="30" t="s">
        <v>4393</v>
      </c>
      <c r="E119" s="113" t="s">
        <v>1355</v>
      </c>
      <c r="F119" s="925">
        <v>3</v>
      </c>
      <c r="G119" s="28">
        <v>2.75</v>
      </c>
    </row>
    <row r="120" spans="1:7" ht="17.250000">
      <c r="A120" s="4">
        <v>119</v>
      </c>
      <c r="B120" s="978" t="s">
        <v>2258</v>
      </c>
      <c r="C120" s="980" t="s">
        <v>4486</v>
      </c>
      <c r="D120" s="30" t="s">
        <v>2260</v>
      </c>
      <c r="E120" s="116" t="s">
        <v>2262</v>
      </c>
      <c r="F120" s="925">
        <v>3</v>
      </c>
      <c r="G120" s="28">
        <v>2.74</v>
      </c>
    </row>
    <row r="121" spans="1:7" ht="33.000000">
      <c r="A121" s="4">
        <v>120</v>
      </c>
      <c r="B121" s="29" t="s">
        <v>23</v>
      </c>
      <c r="C121" s="29" t="s">
        <v>23</v>
      </c>
      <c r="D121" s="30" t="s">
        <v>1406</v>
      </c>
      <c r="E121" s="27" t="s">
        <v>1559</v>
      </c>
      <c r="F121" s="925">
        <v>3</v>
      </c>
      <c r="G121" s="28">
        <v>2.72</v>
      </c>
    </row>
    <row r="122" spans="1:7" ht="33.000000">
      <c r="A122" s="4">
        <v>121</v>
      </c>
      <c r="B122" s="29" t="s">
        <v>1604</v>
      </c>
      <c r="C122" s="29" t="s">
        <v>1604</v>
      </c>
      <c r="D122" s="30" t="s">
        <v>1821</v>
      </c>
      <c r="E122" s="116" t="s">
        <v>1683</v>
      </c>
      <c r="F122" s="925">
        <v>3</v>
      </c>
      <c r="G122" s="28">
        <v>2.72</v>
      </c>
    </row>
    <row r="123" spans="1:7" ht="33.000000">
      <c r="A123" s="4">
        <v>122</v>
      </c>
      <c r="B123" s="935" t="s">
        <v>2287</v>
      </c>
      <c r="C123" s="935" t="s">
        <v>1240</v>
      </c>
      <c r="D123" s="30" t="s">
        <v>1353</v>
      </c>
      <c r="E123" s="31" t="s">
        <v>1211</v>
      </c>
      <c r="F123" s="925">
        <v>3</v>
      </c>
      <c r="G123" s="28">
        <v>2.69</v>
      </c>
    </row>
    <row r="124" spans="1:7" ht="33.000000">
      <c r="A124" s="4">
        <v>123</v>
      </c>
      <c r="B124" s="935" t="s">
        <v>2172</v>
      </c>
      <c r="C124" s="935" t="s">
        <v>1622</v>
      </c>
      <c r="D124" s="30" t="s">
        <v>1858</v>
      </c>
      <c r="E124" s="116" t="s">
        <v>1695</v>
      </c>
      <c r="F124" s="925">
        <v>3</v>
      </c>
      <c r="G124" s="28">
        <v>2.69</v>
      </c>
    </row>
    <row r="125" spans="1:7" ht="49.500000">
      <c r="A125" s="4">
        <v>124</v>
      </c>
      <c r="B125" s="978" t="s">
        <v>2140</v>
      </c>
      <c r="C125" s="980" t="s">
        <v>4507</v>
      </c>
      <c r="D125" s="30" t="s">
        <v>2148</v>
      </c>
      <c r="E125" s="115" t="s">
        <v>1676</v>
      </c>
      <c r="F125" s="925">
        <v>3</v>
      </c>
      <c r="G125" s="28">
        <v>2.68</v>
      </c>
    </row>
    <row r="126" spans="1:7" ht="33.000000">
      <c r="A126" s="4">
        <v>125</v>
      </c>
      <c r="B126" s="61" t="s">
        <v>602</v>
      </c>
      <c r="C126" s="61" t="s">
        <v>602</v>
      </c>
      <c r="D126" s="30" t="s">
        <v>1358</v>
      </c>
      <c r="E126" s="31" t="s">
        <v>1225</v>
      </c>
      <c r="F126" s="925">
        <v>3</v>
      </c>
      <c r="G126" s="28">
        <v>2.65</v>
      </c>
    </row>
    <row r="127" spans="1:7" ht="33.000000">
      <c r="A127" s="4">
        <v>126</v>
      </c>
      <c r="B127" s="29" t="s">
        <v>1636</v>
      </c>
      <c r="C127" s="29" t="s">
        <v>1636</v>
      </c>
      <c r="D127" s="30" t="s">
        <v>4394</v>
      </c>
      <c r="E127" s="116" t="s">
        <v>1702</v>
      </c>
      <c r="F127" s="925">
        <v>3</v>
      </c>
      <c r="G127" s="28">
        <v>2.64</v>
      </c>
    </row>
    <row r="128" spans="1:7" ht="49.500000">
      <c r="A128" s="4">
        <v>127</v>
      </c>
      <c r="B128" s="29" t="s">
        <v>1421</v>
      </c>
      <c r="C128" s="29" t="s">
        <v>1421</v>
      </c>
      <c r="D128" s="30" t="s">
        <v>1489</v>
      </c>
      <c r="E128" s="27" t="s">
        <v>1539</v>
      </c>
      <c r="F128" s="925">
        <v>3</v>
      </c>
      <c r="G128" s="28">
        <v>2.64</v>
      </c>
    </row>
    <row r="129" spans="1:7" ht="49.500000">
      <c r="A129" s="4">
        <v>128</v>
      </c>
      <c r="B129" s="29" t="s">
        <v>1648</v>
      </c>
      <c r="C129" s="29" t="s">
        <v>1648</v>
      </c>
      <c r="D129" s="30" t="s">
        <v>1913</v>
      </c>
      <c r="E129" s="116" t="s">
        <v>1703</v>
      </c>
      <c r="F129" s="925">
        <v>3</v>
      </c>
      <c r="G129" s="28">
        <v>2.62</v>
      </c>
    </row>
    <row r="130" spans="1:7" ht="33.000000">
      <c r="A130" s="4">
        <v>129</v>
      </c>
      <c r="B130" s="935" t="s">
        <v>2472</v>
      </c>
      <c r="C130" s="935" t="s">
        <v>1437</v>
      </c>
      <c r="D130" s="30" t="s">
        <v>1521</v>
      </c>
      <c r="E130" s="113" t="s">
        <v>1480</v>
      </c>
      <c r="F130" s="925">
        <v>3</v>
      </c>
      <c r="G130" s="28">
        <v>2.61</v>
      </c>
    </row>
    <row r="131" spans="1:7" ht="49.500000">
      <c r="A131" s="4">
        <v>130</v>
      </c>
      <c r="B131" s="29" t="s">
        <v>1470</v>
      </c>
      <c r="C131" s="29" t="s">
        <v>1470</v>
      </c>
      <c r="D131" s="30" t="s">
        <v>2207</v>
      </c>
      <c r="E131" s="31" t="s">
        <v>1197</v>
      </c>
      <c r="F131" s="925">
        <v>3</v>
      </c>
      <c r="G131" s="28">
        <v>2.56</v>
      </c>
    </row>
    <row r="132" spans="1:7" ht="33.000000">
      <c r="A132" s="4">
        <v>131</v>
      </c>
      <c r="B132" s="29" t="s">
        <v>2193</v>
      </c>
      <c r="C132" s="29" t="s">
        <v>2193</v>
      </c>
      <c r="D132" s="30" t="s">
        <v>2194</v>
      </c>
      <c r="E132" s="116" t="s">
        <v>2196</v>
      </c>
      <c r="F132" s="925">
        <v>3</v>
      </c>
      <c r="G132" s="28">
        <v>2.54</v>
      </c>
    </row>
    <row r="133" spans="1:7" ht="33.000000">
      <c r="A133" s="4">
        <v>132</v>
      </c>
      <c r="B133" s="935" t="s">
        <v>2216</v>
      </c>
      <c r="C133" s="935" t="s">
        <v>1472</v>
      </c>
      <c r="D133" s="30" t="s">
        <v>4038</v>
      </c>
      <c r="E133" s="31" t="s">
        <v>1205</v>
      </c>
      <c r="F133" s="925">
        <v>3</v>
      </c>
      <c r="G133" s="28">
        <v>2.54</v>
      </c>
    </row>
    <row r="134" spans="1:7" ht="33.000000">
      <c r="A134" s="4">
        <v>133</v>
      </c>
      <c r="B134" s="29" t="s">
        <v>1585</v>
      </c>
      <c r="C134" s="29" t="s">
        <v>1585</v>
      </c>
      <c r="D134" s="30" t="s">
        <v>1781</v>
      </c>
      <c r="E134" s="118" t="s">
        <v>1679</v>
      </c>
      <c r="F134" s="925">
        <v>3</v>
      </c>
      <c r="G134" s="28">
        <v>2.52</v>
      </c>
    </row>
    <row r="135" spans="1:7" ht="33.000000">
      <c r="A135" s="4">
        <v>134</v>
      </c>
      <c r="B135" s="61" t="s">
        <v>2153</v>
      </c>
      <c r="C135" s="61" t="s">
        <v>2153</v>
      </c>
      <c r="D135" s="30" t="s">
        <v>1277</v>
      </c>
      <c r="E135" s="27" t="s">
        <v>1536</v>
      </c>
      <c r="F135" s="925">
        <v>3</v>
      </c>
      <c r="G135" s="28">
        <v>2.5</v>
      </c>
    </row>
    <row r="136" spans="1:7" ht="33.000000">
      <c r="A136" s="4">
        <v>135</v>
      </c>
      <c r="B136" s="29" t="s">
        <v>969</v>
      </c>
      <c r="C136" s="29" t="s">
        <v>969</v>
      </c>
      <c r="D136" s="30" t="s">
        <v>1386</v>
      </c>
      <c r="E136" s="27" t="s">
        <v>1537</v>
      </c>
      <c r="F136" s="925">
        <v>3</v>
      </c>
      <c r="G136" s="28">
        <v>2.49</v>
      </c>
    </row>
    <row r="137" spans="1:7" ht="49.500000">
      <c r="A137" s="4">
        <v>136</v>
      </c>
      <c r="B137" s="29" t="s">
        <v>1640</v>
      </c>
      <c r="C137" s="29" t="s">
        <v>1640</v>
      </c>
      <c r="D137" s="30" t="s">
        <v>4395</v>
      </c>
      <c r="E137" s="117" t="s">
        <v>1486</v>
      </c>
      <c r="F137" s="925">
        <v>3</v>
      </c>
      <c r="G137" s="28">
        <v>2.49</v>
      </c>
    </row>
    <row r="138" spans="1:7" ht="33.000000">
      <c r="A138" s="4">
        <v>137</v>
      </c>
      <c r="B138" s="29" t="s">
        <v>2263</v>
      </c>
      <c r="C138" s="29" t="s">
        <v>2263</v>
      </c>
      <c r="D138" s="30" t="s">
        <v>2264</v>
      </c>
      <c r="E138" s="116" t="s">
        <v>1683</v>
      </c>
      <c r="F138" s="925">
        <v>3</v>
      </c>
      <c r="G138" s="28">
        <v>2.47</v>
      </c>
    </row>
    <row r="139" spans="1:7" ht="33.000000">
      <c r="A139" s="4">
        <v>138</v>
      </c>
      <c r="B139" s="29" t="s">
        <v>186</v>
      </c>
      <c r="C139" s="29" t="s">
        <v>186</v>
      </c>
      <c r="D139" s="30" t="s">
        <v>1311</v>
      </c>
      <c r="E139" s="113" t="s">
        <v>1543</v>
      </c>
      <c r="F139" s="925">
        <v>3</v>
      </c>
      <c r="G139" s="28">
        <v>2.46</v>
      </c>
    </row>
    <row r="140" spans="1:7" ht="49.500000">
      <c r="A140" s="4">
        <v>139</v>
      </c>
      <c r="B140" s="29" t="s">
        <v>1423</v>
      </c>
      <c r="C140" s="29" t="s">
        <v>1423</v>
      </c>
      <c r="D140" s="30" t="s">
        <v>4396</v>
      </c>
      <c r="E140" s="31" t="s">
        <v>1205</v>
      </c>
      <c r="F140" s="925">
        <v>3</v>
      </c>
      <c r="G140" s="28">
        <v>2.43</v>
      </c>
    </row>
    <row r="141" spans="1:7" ht="33.000000">
      <c r="A141" s="4">
        <v>140</v>
      </c>
      <c r="B141" s="29" t="s">
        <v>1645</v>
      </c>
      <c r="C141" s="29" t="s">
        <v>1645</v>
      </c>
      <c r="D141" s="30" t="s">
        <v>1907</v>
      </c>
      <c r="E141" s="117" t="s">
        <v>1690</v>
      </c>
      <c r="F141" s="925">
        <v>3</v>
      </c>
      <c r="G141" s="28">
        <v>2.42</v>
      </c>
    </row>
    <row r="142" spans="1:7" ht="49.500000">
      <c r="A142" s="4">
        <v>141</v>
      </c>
      <c r="B142" s="935" t="s">
        <v>2297</v>
      </c>
      <c r="C142" s="935" t="s">
        <v>1735</v>
      </c>
      <c r="D142" s="30" t="s">
        <v>2017</v>
      </c>
      <c r="E142" s="116" t="s">
        <v>1949</v>
      </c>
      <c r="F142" s="925">
        <v>3</v>
      </c>
      <c r="G142" s="28">
        <v>2.4</v>
      </c>
    </row>
    <row r="143" spans="1:7" ht="49.500000">
      <c r="A143" s="4">
        <v>142</v>
      </c>
      <c r="B143" s="978" t="s">
        <v>2101</v>
      </c>
      <c r="C143" s="980" t="s">
        <v>4505</v>
      </c>
      <c r="D143" s="30" t="s">
        <v>4397</v>
      </c>
      <c r="E143" s="115" t="s">
        <v>2106</v>
      </c>
      <c r="F143" s="925">
        <v>3</v>
      </c>
      <c r="G143" s="28">
        <v>2.4</v>
      </c>
    </row>
    <row r="144" spans="1:7" ht="66.000000">
      <c r="A144" s="4">
        <v>143</v>
      </c>
      <c r="B144" s="29" t="s">
        <v>1590</v>
      </c>
      <c r="C144" s="29" t="s">
        <v>1590</v>
      </c>
      <c r="D144" s="30" t="s">
        <v>4398</v>
      </c>
      <c r="E144" s="116" t="s">
        <v>1681</v>
      </c>
      <c r="F144" s="925">
        <v>3</v>
      </c>
      <c r="G144" s="28">
        <v>2.39</v>
      </c>
    </row>
    <row r="145" spans="1:7" ht="33.000000">
      <c r="A145" s="4">
        <v>144</v>
      </c>
      <c r="B145" s="29" t="s">
        <v>2232</v>
      </c>
      <c r="C145" s="29" t="s">
        <v>2232</v>
      </c>
      <c r="D145" s="30" t="s">
        <v>2236</v>
      </c>
      <c r="E145" s="116" t="s">
        <v>1683</v>
      </c>
      <c r="F145" s="925">
        <v>3</v>
      </c>
      <c r="G145" s="28">
        <v>2.38</v>
      </c>
    </row>
    <row r="146" spans="1:7" ht="66.000000">
      <c r="A146" s="4">
        <v>145</v>
      </c>
      <c r="B146" s="29" t="s">
        <v>1736</v>
      </c>
      <c r="C146" s="29" t="s">
        <v>1736</v>
      </c>
      <c r="D146" s="30" t="s">
        <v>4399</v>
      </c>
      <c r="E146" s="116" t="s">
        <v>1950</v>
      </c>
      <c r="F146" s="925">
        <v>3</v>
      </c>
      <c r="G146" s="28">
        <v>2.38</v>
      </c>
    </row>
    <row r="147" spans="1:7" ht="33.000000">
      <c r="A147" s="4">
        <v>146</v>
      </c>
      <c r="B147" s="29" t="s">
        <v>188</v>
      </c>
      <c r="C147" s="29" t="s">
        <v>188</v>
      </c>
      <c r="D147" s="30" t="s">
        <v>1416</v>
      </c>
      <c r="E147" s="31" t="s">
        <v>1199</v>
      </c>
      <c r="F147" s="925">
        <v>3</v>
      </c>
      <c r="G147" s="28">
        <v>2.37</v>
      </c>
    </row>
    <row r="148" spans="1:7" ht="33.000000">
      <c r="A148" s="4">
        <v>147</v>
      </c>
      <c r="B148" s="935" t="s">
        <v>2392</v>
      </c>
      <c r="C148" s="935" t="s">
        <v>1642</v>
      </c>
      <c r="D148" s="30" t="s">
        <v>1901</v>
      </c>
      <c r="E148" s="116" t="s">
        <v>1703</v>
      </c>
      <c r="F148" s="925">
        <v>3</v>
      </c>
      <c r="G148" s="28">
        <v>2.36</v>
      </c>
    </row>
    <row r="149" spans="1:7" ht="33.000000">
      <c r="A149" s="4">
        <v>148</v>
      </c>
      <c r="B149" s="935" t="s">
        <v>2241</v>
      </c>
      <c r="C149" s="935" t="s">
        <v>1769</v>
      </c>
      <c r="D149" s="30" t="s">
        <v>2050</v>
      </c>
      <c r="E149" s="118" t="s">
        <v>1679</v>
      </c>
      <c r="F149" s="925">
        <v>3</v>
      </c>
      <c r="G149" s="28">
        <v>2.33</v>
      </c>
    </row>
    <row r="150" spans="1:7" ht="49.500000">
      <c r="A150" s="4">
        <v>149</v>
      </c>
      <c r="B150" s="29" t="s">
        <v>1637</v>
      </c>
      <c r="C150" s="29" t="s">
        <v>1637</v>
      </c>
      <c r="D150" s="30" t="s">
        <v>4400</v>
      </c>
      <c r="E150" s="116" t="s">
        <v>1683</v>
      </c>
      <c r="F150" s="925">
        <v>3</v>
      </c>
      <c r="G150" s="28">
        <v>2.3</v>
      </c>
    </row>
    <row r="151" spans="1:7" ht="17.250000">
      <c r="A151" s="4">
        <v>150</v>
      </c>
      <c r="B151" s="29" t="s">
        <v>1239</v>
      </c>
      <c r="C151" s="29" t="s">
        <v>1239</v>
      </c>
      <c r="D151" s="30" t="s">
        <v>1349</v>
      </c>
      <c r="E151" s="31" t="s">
        <v>1222</v>
      </c>
      <c r="F151" s="925">
        <v>3</v>
      </c>
      <c r="G151" s="28">
        <v>2.3</v>
      </c>
    </row>
    <row r="152" spans="1:7" ht="33.000000">
      <c r="A152" s="4">
        <v>151</v>
      </c>
      <c r="B152" s="29" t="s">
        <v>1765</v>
      </c>
      <c r="C152" s="29" t="s">
        <v>1765</v>
      </c>
      <c r="D152" s="30" t="s">
        <v>2075</v>
      </c>
      <c r="E152" s="116" t="s">
        <v>2091</v>
      </c>
      <c r="F152" s="925">
        <v>3</v>
      </c>
      <c r="G152" s="28">
        <v>2.3</v>
      </c>
    </row>
    <row r="153" spans="1:7" ht="33.000000">
      <c r="A153" s="4">
        <v>152</v>
      </c>
      <c r="B153" s="935" t="s">
        <v>2266</v>
      </c>
      <c r="C153" s="935" t="s">
        <v>1614</v>
      </c>
      <c r="D153" s="30" t="s">
        <v>1840</v>
      </c>
      <c r="E153" s="116" t="s">
        <v>1683</v>
      </c>
      <c r="F153" s="925">
        <v>3</v>
      </c>
      <c r="G153" s="28">
        <v>2.29</v>
      </c>
    </row>
    <row r="154" spans="1:7" ht="33.000000">
      <c r="A154" s="4">
        <v>153</v>
      </c>
      <c r="B154" s="29" t="s">
        <v>2208</v>
      </c>
      <c r="C154" s="29" t="s">
        <v>2208</v>
      </c>
      <c r="D154" s="30" t="s">
        <v>2209</v>
      </c>
      <c r="E154" s="117" t="s">
        <v>1690</v>
      </c>
      <c r="F154" s="925">
        <v>3</v>
      </c>
      <c r="G154" s="28">
        <v>2.26</v>
      </c>
    </row>
    <row r="155" spans="1:7" ht="33.000000">
      <c r="A155" s="4">
        <v>154</v>
      </c>
      <c r="B155" s="935" t="s">
        <v>2295</v>
      </c>
      <c r="C155" s="935" t="s">
        <v>1426</v>
      </c>
      <c r="D155" s="30" t="s">
        <v>1499</v>
      </c>
      <c r="E155" s="31" t="s">
        <v>1199</v>
      </c>
      <c r="F155" s="925">
        <v>3</v>
      </c>
      <c r="G155" s="28">
        <v>2.25</v>
      </c>
    </row>
    <row r="156" spans="1:7" ht="66.000000">
      <c r="A156" s="4">
        <v>155</v>
      </c>
      <c r="B156" s="29" t="s">
        <v>1243</v>
      </c>
      <c r="C156" s="29" t="s">
        <v>1243</v>
      </c>
      <c r="D156" s="30" t="s">
        <v>4401</v>
      </c>
      <c r="E156" s="27" t="s">
        <v>1554</v>
      </c>
      <c r="F156" s="925">
        <v>3</v>
      </c>
      <c r="G156" s="28">
        <v>2.21</v>
      </c>
    </row>
    <row r="157" spans="1:7" ht="33.000000">
      <c r="A157" s="4">
        <v>156</v>
      </c>
      <c r="B157" s="29" t="s">
        <v>2291</v>
      </c>
      <c r="C157" s="29" t="s">
        <v>2291</v>
      </c>
      <c r="D157" s="30" t="s">
        <v>2292</v>
      </c>
      <c r="E157" s="116" t="s">
        <v>1683</v>
      </c>
      <c r="F157" s="925">
        <v>3</v>
      </c>
      <c r="G157" s="28">
        <v>2.2</v>
      </c>
    </row>
    <row r="158" spans="1:7" ht="49.500000">
      <c r="A158" s="4">
        <v>157</v>
      </c>
      <c r="B158" s="29" t="s">
        <v>2112</v>
      </c>
      <c r="C158" s="29" t="s">
        <v>2112</v>
      </c>
      <c r="D158" s="30" t="s">
        <v>4402</v>
      </c>
      <c r="E158" s="117" t="s">
        <v>1690</v>
      </c>
      <c r="F158" s="925">
        <v>3</v>
      </c>
      <c r="G158" s="28">
        <v>2.18</v>
      </c>
    </row>
    <row r="159" spans="1:7" ht="49.500000">
      <c r="A159" s="4">
        <v>158</v>
      </c>
      <c r="B159" s="29" t="s">
        <v>405</v>
      </c>
      <c r="C159" s="29" t="s">
        <v>405</v>
      </c>
      <c r="D159" s="30" t="s">
        <v>4403</v>
      </c>
      <c r="E159" s="113" t="s">
        <v>1393</v>
      </c>
      <c r="F159" s="925">
        <v>3</v>
      </c>
      <c r="G159" s="28">
        <v>2.11</v>
      </c>
    </row>
    <row r="160" spans="1:7" ht="49.500000">
      <c r="A160" s="4">
        <v>159</v>
      </c>
      <c r="B160" s="978" t="s">
        <v>2158</v>
      </c>
      <c r="C160" s="980" t="s">
        <v>4501</v>
      </c>
      <c r="D160" s="30" t="s">
        <v>4404</v>
      </c>
      <c r="E160" s="116" t="s">
        <v>2167</v>
      </c>
      <c r="F160" s="925">
        <v>3</v>
      </c>
      <c r="G160" s="28">
        <v>2.11</v>
      </c>
    </row>
    <row r="161" spans="1:7" ht="49.500000">
      <c r="A161" s="4">
        <v>160</v>
      </c>
      <c r="B161" s="29" t="s">
        <v>1632</v>
      </c>
      <c r="C161" s="29" t="s">
        <v>1632</v>
      </c>
      <c r="D161" s="30" t="s">
        <v>4405</v>
      </c>
      <c r="E161" s="116" t="s">
        <v>1680</v>
      </c>
      <c r="F161" s="925">
        <v>3</v>
      </c>
      <c r="G161" s="28">
        <v>2.1</v>
      </c>
    </row>
    <row r="162" spans="1:7" ht="33.000000">
      <c r="A162" s="4">
        <v>161</v>
      </c>
      <c r="B162" s="29" t="s">
        <v>1747</v>
      </c>
      <c r="C162" s="29" t="s">
        <v>1747</v>
      </c>
      <c r="D162" s="30" t="s">
        <v>2040</v>
      </c>
      <c r="E162" s="116" t="s">
        <v>1702</v>
      </c>
      <c r="F162" s="925">
        <v>3</v>
      </c>
      <c r="G162" s="28">
        <v>2.1</v>
      </c>
    </row>
    <row r="163" spans="1:7" ht="33.000000">
      <c r="A163" s="4">
        <v>162</v>
      </c>
      <c r="B163" s="29" t="s">
        <v>1764</v>
      </c>
      <c r="C163" s="29" t="s">
        <v>1764</v>
      </c>
      <c r="D163" s="30" t="s">
        <v>2073</v>
      </c>
      <c r="E163" s="117" t="s">
        <v>1709</v>
      </c>
      <c r="F163" s="925">
        <v>3</v>
      </c>
      <c r="G163" s="28">
        <v>2.09</v>
      </c>
    </row>
    <row r="164" spans="1:7" ht="33.000000">
      <c r="A164" s="4">
        <v>163</v>
      </c>
      <c r="B164" s="61" t="s">
        <v>1638</v>
      </c>
      <c r="C164" s="61" t="s">
        <v>1638</v>
      </c>
      <c r="D164" s="30" t="s">
        <v>1892</v>
      </c>
      <c r="E164" s="116" t="s">
        <v>1683</v>
      </c>
      <c r="F164" s="925">
        <v>3</v>
      </c>
      <c r="G164" s="28">
        <v>2.09</v>
      </c>
    </row>
    <row r="165" spans="1:7" ht="49.500000">
      <c r="A165" s="4">
        <v>164</v>
      </c>
      <c r="B165" s="29" t="s">
        <v>1716</v>
      </c>
      <c r="C165" s="29" t="s">
        <v>1716</v>
      </c>
      <c r="D165" s="30" t="s">
        <v>1975</v>
      </c>
      <c r="E165" s="125" t="s">
        <v>1953</v>
      </c>
      <c r="F165" s="925">
        <v>3</v>
      </c>
      <c r="G165" s="28">
        <v>2.08</v>
      </c>
    </row>
    <row r="166" spans="1:7" ht="49.500000">
      <c r="A166" s="4">
        <v>165</v>
      </c>
      <c r="B166" s="29" t="s">
        <v>1235</v>
      </c>
      <c r="C166" s="29" t="s">
        <v>1235</v>
      </c>
      <c r="D166" s="30" t="s">
        <v>1335</v>
      </c>
      <c r="E166" s="27" t="s">
        <v>1550</v>
      </c>
      <c r="F166" s="925">
        <v>3</v>
      </c>
      <c r="G166" s="28">
        <v>2.08</v>
      </c>
    </row>
    <row r="167" spans="1:7" ht="49.500000">
      <c r="A167" s="4">
        <v>166</v>
      </c>
      <c r="B167" s="29" t="s">
        <v>1639</v>
      </c>
      <c r="C167" s="29" t="s">
        <v>1639</v>
      </c>
      <c r="D167" s="30" t="s">
        <v>1894</v>
      </c>
      <c r="E167" s="118" t="s">
        <v>1679</v>
      </c>
      <c r="F167" s="925">
        <v>3</v>
      </c>
      <c r="G167" s="28">
        <v>2.08</v>
      </c>
    </row>
    <row r="168" spans="1:7" ht="33.000000">
      <c r="A168" s="4">
        <v>167</v>
      </c>
      <c r="B168" s="29" t="s">
        <v>1626</v>
      </c>
      <c r="C168" s="29" t="s">
        <v>1626</v>
      </c>
      <c r="D168" s="30" t="s">
        <v>1867</v>
      </c>
      <c r="E168" s="116" t="s">
        <v>1697</v>
      </c>
      <c r="F168" s="925">
        <v>3</v>
      </c>
      <c r="G168" s="28">
        <v>2.06</v>
      </c>
    </row>
    <row r="169" spans="1:7" ht="49.500000">
      <c r="A169" s="4">
        <v>168</v>
      </c>
      <c r="B169" s="29" t="s">
        <v>1653</v>
      </c>
      <c r="C169" s="29" t="s">
        <v>1653</v>
      </c>
      <c r="D169" s="30" t="s">
        <v>4406</v>
      </c>
      <c r="E169" s="117" t="s">
        <v>1672</v>
      </c>
      <c r="F169" s="925">
        <v>3</v>
      </c>
      <c r="G169" s="28">
        <v>2.04</v>
      </c>
    </row>
    <row r="170" spans="1:7" ht="49.500000">
      <c r="A170" s="4">
        <v>169</v>
      </c>
      <c r="B170" s="29" t="s">
        <v>1584</v>
      </c>
      <c r="C170" s="29" t="s">
        <v>1584</v>
      </c>
      <c r="D170" s="30" t="s">
        <v>4407</v>
      </c>
      <c r="E170" s="118" t="s">
        <v>1679</v>
      </c>
      <c r="F170" s="925">
        <v>3</v>
      </c>
      <c r="G170" s="28">
        <v>2.01</v>
      </c>
    </row>
    <row r="171" spans="1:7" ht="66.000000">
      <c r="A171" s="4">
        <v>170</v>
      </c>
      <c r="B171" s="935" t="s">
        <v>2178</v>
      </c>
      <c r="C171" s="935" t="s">
        <v>1621</v>
      </c>
      <c r="D171" s="30" t="s">
        <v>1855</v>
      </c>
      <c r="E171" s="117" t="s">
        <v>1692</v>
      </c>
      <c r="F171" s="925">
        <v>3</v>
      </c>
      <c r="G171" s="28">
        <v>2</v>
      </c>
    </row>
    <row r="172" spans="1:7" ht="49.500000">
      <c r="A172" s="4">
        <v>171</v>
      </c>
      <c r="B172" s="61" t="s">
        <v>2341</v>
      </c>
      <c r="C172" s="61" t="s">
        <v>2341</v>
      </c>
      <c r="D172" s="30" t="s">
        <v>2234</v>
      </c>
      <c r="E172" s="31" t="s">
        <v>1199</v>
      </c>
      <c r="F172" s="925">
        <v>3</v>
      </c>
      <c r="G172" s="28">
        <v>1.99</v>
      </c>
    </row>
    <row r="173" spans="1:7" ht="49.500000">
      <c r="A173" s="4">
        <v>172</v>
      </c>
      <c r="B173" s="935" t="s">
        <v>2132</v>
      </c>
      <c r="C173" s="935" t="s">
        <v>1766</v>
      </c>
      <c r="D173" s="30" t="s">
        <v>2077</v>
      </c>
      <c r="E173" s="117" t="s">
        <v>2092</v>
      </c>
      <c r="F173" s="925">
        <v>3</v>
      </c>
      <c r="G173" s="28">
        <v>1.97</v>
      </c>
    </row>
    <row r="174" spans="1:7" ht="33.000000">
      <c r="A174" s="4">
        <v>173</v>
      </c>
      <c r="B174" s="29" t="s">
        <v>1447</v>
      </c>
      <c r="C174" s="29" t="s">
        <v>1447</v>
      </c>
      <c r="D174" s="30" t="s">
        <v>2350</v>
      </c>
      <c r="E174" s="31" t="s">
        <v>1528</v>
      </c>
      <c r="F174" s="926">
        <v>4</v>
      </c>
      <c r="G174" s="28">
        <v>1.95</v>
      </c>
    </row>
    <row r="175" spans="1:7" ht="49.500000">
      <c r="A175" s="4">
        <v>174</v>
      </c>
      <c r="B175" s="29" t="s">
        <v>1226</v>
      </c>
      <c r="C175" s="29" t="s">
        <v>1226</v>
      </c>
      <c r="D175" s="30" t="s">
        <v>1310</v>
      </c>
      <c r="E175" s="27" t="s">
        <v>1539</v>
      </c>
      <c r="F175" s="926">
        <v>4</v>
      </c>
      <c r="G175" s="28">
        <v>1.94</v>
      </c>
    </row>
    <row r="176" spans="1:7" ht="33.000000">
      <c r="A176" s="4">
        <v>175</v>
      </c>
      <c r="B176" s="29" t="s">
        <v>1712</v>
      </c>
      <c r="C176" s="29" t="s">
        <v>1712</v>
      </c>
      <c r="D176" s="30" t="s">
        <v>1979</v>
      </c>
      <c r="E176" s="116" t="s">
        <v>1686</v>
      </c>
      <c r="F176" s="926">
        <v>4</v>
      </c>
      <c r="G176" s="28">
        <v>1.93</v>
      </c>
    </row>
    <row r="177" spans="1:7" ht="49.500000">
      <c r="A177" s="4">
        <v>176</v>
      </c>
      <c r="B177" s="29" t="s">
        <v>1603</v>
      </c>
      <c r="C177" s="29" t="s">
        <v>1603</v>
      </c>
      <c r="D177" s="30" t="s">
        <v>1819</v>
      </c>
      <c r="E177" s="116" t="s">
        <v>1685</v>
      </c>
      <c r="F177" s="926">
        <v>4</v>
      </c>
      <c r="G177" s="28">
        <v>1.92</v>
      </c>
    </row>
    <row r="178" spans="1:7" ht="33.000000">
      <c r="A178" s="4">
        <v>177</v>
      </c>
      <c r="B178" s="935" t="s">
        <v>2213</v>
      </c>
      <c r="C178" s="935" t="s">
        <v>1717</v>
      </c>
      <c r="D178" s="30" t="s">
        <v>1972</v>
      </c>
      <c r="E178" s="118" t="s">
        <v>1679</v>
      </c>
      <c r="F178" s="926">
        <v>4</v>
      </c>
      <c r="G178" s="28">
        <v>1.92</v>
      </c>
    </row>
    <row r="179" spans="1:7" ht="33.000000">
      <c r="A179" s="4">
        <v>178</v>
      </c>
      <c r="B179" s="29" t="s">
        <v>1461</v>
      </c>
      <c r="C179" s="29" t="s">
        <v>1461</v>
      </c>
      <c r="D179" s="30" t="s">
        <v>2372</v>
      </c>
      <c r="E179" s="31" t="s">
        <v>1532</v>
      </c>
      <c r="F179" s="926">
        <v>4</v>
      </c>
      <c r="G179" s="28">
        <v>1.82</v>
      </c>
    </row>
    <row r="180" spans="1:7" ht="33.000000">
      <c r="A180" s="4">
        <v>179</v>
      </c>
      <c r="B180" s="29" t="s">
        <v>1659</v>
      </c>
      <c r="C180" s="29" t="s">
        <v>1659</v>
      </c>
      <c r="D180" s="30" t="s">
        <v>4408</v>
      </c>
      <c r="E180" s="116" t="s">
        <v>1697</v>
      </c>
      <c r="F180" s="926">
        <v>4</v>
      </c>
      <c r="G180" s="28">
        <v>1.81</v>
      </c>
    </row>
    <row r="181" spans="1:7" ht="17.250000">
      <c r="A181" s="4">
        <v>180</v>
      </c>
      <c r="B181" s="29" t="s">
        <v>52</v>
      </c>
      <c r="C181" s="29" t="s">
        <v>52</v>
      </c>
      <c r="D181" s="30" t="s">
        <v>1381</v>
      </c>
      <c r="E181" s="31" t="s">
        <v>1199</v>
      </c>
      <c r="F181" s="926">
        <v>4</v>
      </c>
      <c r="G181" s="28">
        <v>1.74</v>
      </c>
    </row>
    <row r="182" spans="1:7" ht="49.500000">
      <c r="A182" s="4">
        <v>181</v>
      </c>
      <c r="B182" s="978" t="s">
        <v>2279</v>
      </c>
      <c r="C182" s="980" t="s">
        <v>4487</v>
      </c>
      <c r="D182" s="30" t="s">
        <v>4041</v>
      </c>
      <c r="E182" s="116" t="s">
        <v>1686</v>
      </c>
      <c r="F182" s="926">
        <v>4</v>
      </c>
      <c r="G182" s="28">
        <v>1.74</v>
      </c>
    </row>
    <row r="183" spans="1:7" ht="66.000000">
      <c r="A183" s="4">
        <v>182</v>
      </c>
      <c r="B183" s="29" t="s">
        <v>277</v>
      </c>
      <c r="C183" s="29" t="s">
        <v>277</v>
      </c>
      <c r="D183" s="30" t="s">
        <v>4409</v>
      </c>
      <c r="E183" s="31" t="s">
        <v>1197</v>
      </c>
      <c r="F183" s="926">
        <v>4</v>
      </c>
      <c r="G183" s="28">
        <v>1.73</v>
      </c>
    </row>
    <row r="184" spans="1:7" ht="33.000000">
      <c r="A184" s="4">
        <v>183</v>
      </c>
      <c r="B184" s="29" t="s">
        <v>1641</v>
      </c>
      <c r="C184" s="29" t="s">
        <v>1641</v>
      </c>
      <c r="D184" s="30" t="s">
        <v>1898</v>
      </c>
      <c r="E184" s="116" t="s">
        <v>1683</v>
      </c>
      <c r="F184" s="926">
        <v>4</v>
      </c>
      <c r="G184" s="28">
        <v>1.71</v>
      </c>
    </row>
    <row r="185" spans="1:7" ht="66.000000">
      <c r="A185" s="4">
        <v>184</v>
      </c>
      <c r="B185" s="29" t="s">
        <v>1245</v>
      </c>
      <c r="C185" s="29" t="s">
        <v>1245</v>
      </c>
      <c r="D185" s="30" t="s">
        <v>4410</v>
      </c>
      <c r="E185" s="31" t="s">
        <v>1199</v>
      </c>
      <c r="F185" s="926">
        <v>4</v>
      </c>
      <c r="G185" s="28">
        <v>1.71</v>
      </c>
    </row>
    <row r="186" spans="1:7" ht="49.500000">
      <c r="A186" s="4">
        <v>185</v>
      </c>
      <c r="B186" s="29" t="s">
        <v>1084</v>
      </c>
      <c r="C186" s="29" t="s">
        <v>1084</v>
      </c>
      <c r="D186" s="30" t="s">
        <v>4411</v>
      </c>
      <c r="E186" s="31" t="s">
        <v>1205</v>
      </c>
      <c r="F186" s="926">
        <v>4</v>
      </c>
      <c r="G186" s="28">
        <v>1.7</v>
      </c>
    </row>
    <row r="187" spans="1:7" ht="49.500000">
      <c r="A187" s="4">
        <v>186</v>
      </c>
      <c r="B187" s="29" t="s">
        <v>2307</v>
      </c>
      <c r="C187" s="29" t="s">
        <v>2307</v>
      </c>
      <c r="D187" s="30" t="s">
        <v>2309</v>
      </c>
      <c r="E187" s="116" t="s">
        <v>2308</v>
      </c>
      <c r="F187" s="926">
        <v>4</v>
      </c>
      <c r="G187" s="28">
        <v>1.69</v>
      </c>
    </row>
    <row r="188" spans="1:7" ht="33.000000">
      <c r="A188" s="4">
        <v>187</v>
      </c>
      <c r="B188" s="935" t="s">
        <v>2180</v>
      </c>
      <c r="C188" s="935" t="s">
        <v>1459</v>
      </c>
      <c r="D188" s="30" t="s">
        <v>2184</v>
      </c>
      <c r="E188" s="115" t="s">
        <v>1405</v>
      </c>
      <c r="F188" s="926">
        <v>4</v>
      </c>
      <c r="G188" s="28">
        <v>1.69</v>
      </c>
    </row>
    <row r="189" spans="1:7" ht="49.500000">
      <c r="A189" s="4">
        <v>188</v>
      </c>
      <c r="B189" s="29" t="s">
        <v>1741</v>
      </c>
      <c r="C189" s="29" t="s">
        <v>1741</v>
      </c>
      <c r="D189" s="30" t="s">
        <v>4412</v>
      </c>
      <c r="E189" s="117" t="s">
        <v>1965</v>
      </c>
      <c r="F189" s="926">
        <v>4</v>
      </c>
      <c r="G189" s="28">
        <v>1.69</v>
      </c>
    </row>
    <row r="190" spans="1:7" ht="49.500000">
      <c r="A190" s="4">
        <v>189</v>
      </c>
      <c r="B190" s="29" t="s">
        <v>1203</v>
      </c>
      <c r="C190" s="29" t="s">
        <v>1203</v>
      </c>
      <c r="D190" s="30" t="s">
        <v>4413</v>
      </c>
      <c r="E190" s="31" t="s">
        <v>1199</v>
      </c>
      <c r="F190" s="926">
        <v>4</v>
      </c>
      <c r="G190" s="28">
        <v>1.67</v>
      </c>
    </row>
    <row r="191" spans="1:7" ht="33.000000">
      <c r="A191" s="4">
        <v>190</v>
      </c>
      <c r="B191" s="29" t="s">
        <v>336</v>
      </c>
      <c r="C191" s="29" t="s">
        <v>336</v>
      </c>
      <c r="D191" s="30" t="s">
        <v>1410</v>
      </c>
      <c r="E191" s="31" t="s">
        <v>1199</v>
      </c>
      <c r="F191" s="926">
        <v>4</v>
      </c>
      <c r="G191" s="28">
        <v>1.61</v>
      </c>
    </row>
    <row r="192" spans="1:7" ht="33.000000">
      <c r="A192" s="4">
        <v>191</v>
      </c>
      <c r="B192" s="29" t="s">
        <v>1255</v>
      </c>
      <c r="C192" s="29" t="s">
        <v>1255</v>
      </c>
      <c r="D192" s="30" t="s">
        <v>1383</v>
      </c>
      <c r="E192" s="113" t="s">
        <v>1384</v>
      </c>
      <c r="F192" s="926">
        <v>4</v>
      </c>
      <c r="G192" s="28">
        <v>1.61</v>
      </c>
    </row>
    <row r="193" spans="1:7" ht="66.000000">
      <c r="A193" s="4">
        <v>192</v>
      </c>
      <c r="B193" s="29" t="s">
        <v>1453</v>
      </c>
      <c r="C193" s="29" t="s">
        <v>1453</v>
      </c>
      <c r="D193" s="30" t="s">
        <v>4414</v>
      </c>
      <c r="E193" s="115" t="s">
        <v>2206</v>
      </c>
      <c r="F193" s="926">
        <v>4</v>
      </c>
      <c r="G193" s="28">
        <v>1.59</v>
      </c>
    </row>
    <row r="194" spans="1:7" ht="33.000000">
      <c r="A194" s="4">
        <v>193</v>
      </c>
      <c r="B194" s="29" t="s">
        <v>1466</v>
      </c>
      <c r="C194" s="29" t="s">
        <v>1466</v>
      </c>
      <c r="D194" s="30" t="s">
        <v>2382</v>
      </c>
      <c r="E194" s="31" t="s">
        <v>1206</v>
      </c>
      <c r="F194" s="926">
        <v>4</v>
      </c>
      <c r="G194" s="28">
        <v>1.57</v>
      </c>
    </row>
    <row r="195" spans="1:7" ht="33.000000">
      <c r="A195" s="4">
        <v>194</v>
      </c>
      <c r="B195" s="29" t="s">
        <v>1588</v>
      </c>
      <c r="C195" s="29" t="s">
        <v>1588</v>
      </c>
      <c r="D195" s="30" t="s">
        <v>1788</v>
      </c>
      <c r="E195" s="116" t="s">
        <v>1680</v>
      </c>
      <c r="F195" s="926">
        <v>4</v>
      </c>
      <c r="G195" s="28">
        <v>1.5</v>
      </c>
    </row>
    <row r="196" spans="1:7" ht="49.500000">
      <c r="A196" s="4">
        <v>195</v>
      </c>
      <c r="B196" s="29" t="s">
        <v>1746</v>
      </c>
      <c r="C196" s="29" t="s">
        <v>1746</v>
      </c>
      <c r="D196" s="30" t="s">
        <v>4415</v>
      </c>
      <c r="E196" s="116" t="s">
        <v>1710</v>
      </c>
      <c r="F196" s="926">
        <v>4</v>
      </c>
      <c r="G196" s="28">
        <v>1.43</v>
      </c>
    </row>
    <row r="197" spans="1:7" ht="49.500000">
      <c r="A197" s="4">
        <v>196</v>
      </c>
      <c r="B197" s="29" t="s">
        <v>1749</v>
      </c>
      <c r="C197" s="29" t="s">
        <v>1749</v>
      </c>
      <c r="D197" s="30" t="s">
        <v>4416</v>
      </c>
      <c r="E197" s="116" t="s">
        <v>2087</v>
      </c>
      <c r="F197" s="926">
        <v>4</v>
      </c>
      <c r="G197" s="28">
        <v>1.43</v>
      </c>
    </row>
    <row r="198" spans="1:7" ht="33.000000">
      <c r="A198" s="4">
        <v>197</v>
      </c>
      <c r="B198" s="29" t="s">
        <v>1254</v>
      </c>
      <c r="C198" s="29" t="s">
        <v>1254</v>
      </c>
      <c r="D198" s="30" t="s">
        <v>1379</v>
      </c>
      <c r="E198" s="31" t="s">
        <v>1199</v>
      </c>
      <c r="F198" s="926">
        <v>4</v>
      </c>
      <c r="G198" s="28">
        <v>1.43</v>
      </c>
    </row>
    <row r="199" spans="1:7" ht="17.250000">
      <c r="A199" s="4">
        <v>198</v>
      </c>
      <c r="B199" s="29" t="s">
        <v>1768</v>
      </c>
      <c r="C199" s="29" t="s">
        <v>1768</v>
      </c>
      <c r="D199" s="30" t="s">
        <v>2081</v>
      </c>
      <c r="E199" s="116" t="s">
        <v>2093</v>
      </c>
      <c r="F199" s="926">
        <v>4</v>
      </c>
      <c r="G199" s="28">
        <v>1.41</v>
      </c>
    </row>
    <row r="200" spans="1:7" ht="33.000000">
      <c r="A200" s="4">
        <v>199</v>
      </c>
      <c r="B200" s="935" t="s">
        <v>2397</v>
      </c>
      <c r="C200" s="935" t="s">
        <v>1756</v>
      </c>
      <c r="D200" s="30" t="s">
        <v>2058</v>
      </c>
      <c r="E200" s="116" t="s">
        <v>1683</v>
      </c>
      <c r="F200" s="926">
        <v>4</v>
      </c>
      <c r="G200" s="28">
        <v>1.39</v>
      </c>
    </row>
    <row r="201" spans="1:7" ht="33.000000">
      <c r="A201" s="4">
        <v>200</v>
      </c>
      <c r="B201" s="935" t="s">
        <v>2249</v>
      </c>
      <c r="C201" s="935" t="s">
        <v>1465</v>
      </c>
      <c r="D201" s="30" t="s">
        <v>2250</v>
      </c>
      <c r="E201" s="115" t="s">
        <v>1480</v>
      </c>
      <c r="F201" s="926">
        <v>4</v>
      </c>
      <c r="G201" s="28">
        <v>1.38</v>
      </c>
    </row>
    <row r="202" spans="1:7" ht="17.250000">
      <c r="A202" s="4">
        <v>201</v>
      </c>
      <c r="B202" s="935" t="s">
        <v>2128</v>
      </c>
      <c r="C202" s="935" t="s">
        <v>1259</v>
      </c>
      <c r="D202" s="30" t="s">
        <v>1412</v>
      </c>
      <c r="E202" s="31" t="s">
        <v>1199</v>
      </c>
      <c r="F202" s="926">
        <v>4</v>
      </c>
      <c r="G202" s="28">
        <v>1.37</v>
      </c>
    </row>
    <row r="203" spans="1:7" ht="33.000000">
      <c r="A203" s="4">
        <v>202</v>
      </c>
      <c r="B203" s="29" t="s">
        <v>1727</v>
      </c>
      <c r="C203" s="29" t="s">
        <v>1727</v>
      </c>
      <c r="D203" s="30" t="s">
        <v>2001</v>
      </c>
      <c r="E203" s="116" t="s">
        <v>1686</v>
      </c>
      <c r="F203" s="926">
        <v>4</v>
      </c>
      <c r="G203" s="28">
        <v>1.37</v>
      </c>
    </row>
    <row r="204" spans="1:7" ht="60.200000" customHeight="1">
      <c r="A204" s="4">
        <v>203</v>
      </c>
      <c r="B204" s="29" t="s">
        <v>1753</v>
      </c>
      <c r="C204" s="29" t="s">
        <v>1753</v>
      </c>
      <c r="D204" s="30" t="s">
        <v>2052</v>
      </c>
      <c r="E204" s="116" t="s">
        <v>1683</v>
      </c>
      <c r="F204" s="926">
        <v>4</v>
      </c>
      <c r="G204" s="28">
        <v>1.37</v>
      </c>
    </row>
    <row r="205" spans="1:7" ht="33.000000">
      <c r="A205" s="4">
        <v>204</v>
      </c>
      <c r="B205" s="978" t="s">
        <v>2242</v>
      </c>
      <c r="C205" s="980" t="s">
        <v>4499</v>
      </c>
      <c r="D205" s="30" t="s">
        <v>2246</v>
      </c>
      <c r="E205" s="116" t="s">
        <v>2245</v>
      </c>
      <c r="F205" s="926">
        <v>4</v>
      </c>
      <c r="G205" s="28">
        <v>1.31</v>
      </c>
    </row>
    <row r="206" spans="1:7" ht="49.500000">
      <c r="A206" s="4">
        <v>205</v>
      </c>
      <c r="B206" s="29" t="s">
        <v>1630</v>
      </c>
      <c r="C206" s="29" t="s">
        <v>1630</v>
      </c>
      <c r="D206" s="30" t="s">
        <v>4417</v>
      </c>
      <c r="E206" s="117" t="s">
        <v>1701</v>
      </c>
      <c r="F206" s="926">
        <v>4</v>
      </c>
      <c r="G206" s="28">
        <v>1.27</v>
      </c>
    </row>
    <row r="207" spans="1:7" ht="49.500000">
      <c r="A207" s="4">
        <v>206</v>
      </c>
      <c r="B207" s="29" t="s">
        <v>1612</v>
      </c>
      <c r="C207" s="29" t="s">
        <v>1612</v>
      </c>
      <c r="D207" s="30" t="s">
        <v>4418</v>
      </c>
      <c r="E207" s="117" t="s">
        <v>1688</v>
      </c>
      <c r="F207" s="926">
        <v>4</v>
      </c>
      <c r="G207" s="28">
        <v>1.25</v>
      </c>
    </row>
    <row r="208" spans="1:7" ht="49.500000">
      <c r="A208" s="4">
        <v>207</v>
      </c>
      <c r="B208" s="978" t="s">
        <v>2214</v>
      </c>
      <c r="C208" s="980" t="s">
        <v>4498</v>
      </c>
      <c r="D208" s="30" t="s">
        <v>4419</v>
      </c>
      <c r="E208" s="116" t="s">
        <v>1680</v>
      </c>
      <c r="F208" s="926">
        <v>4</v>
      </c>
      <c r="G208" s="28">
        <v>1.23</v>
      </c>
    </row>
    <row r="209" spans="1:7" ht="33.000000">
      <c r="A209" s="4">
        <v>208</v>
      </c>
      <c r="B209" s="29" t="s">
        <v>1715</v>
      </c>
      <c r="C209" s="29" t="s">
        <v>1715</v>
      </c>
      <c r="D209" s="30" t="s">
        <v>1976</v>
      </c>
      <c r="E209" s="125" t="s">
        <v>1476</v>
      </c>
      <c r="F209" s="926">
        <v>4</v>
      </c>
      <c r="G209" s="28">
        <v>1.22</v>
      </c>
    </row>
    <row r="210" spans="1:7" ht="33.000000">
      <c r="A210" s="4">
        <v>209</v>
      </c>
      <c r="B210" s="29" t="s">
        <v>19</v>
      </c>
      <c r="C210" s="29" t="s">
        <v>19</v>
      </c>
      <c r="D210" s="30" t="s">
        <v>1391</v>
      </c>
      <c r="E210" s="31" t="s">
        <v>1199</v>
      </c>
      <c r="F210" s="926">
        <v>4</v>
      </c>
      <c r="G210" s="28">
        <v>1.2</v>
      </c>
    </row>
    <row r="211" spans="1:7" ht="33.000000">
      <c r="A211" s="4">
        <v>210</v>
      </c>
      <c r="B211" s="29" t="s">
        <v>387</v>
      </c>
      <c r="C211" s="29" t="s">
        <v>387</v>
      </c>
      <c r="D211" s="30" t="s">
        <v>1408</v>
      </c>
      <c r="E211" s="31" t="s">
        <v>1205</v>
      </c>
      <c r="F211" s="926">
        <v>4</v>
      </c>
      <c r="G211" s="28">
        <v>1.19</v>
      </c>
    </row>
    <row r="212" spans="1:7" ht="33.000000">
      <c r="A212" s="4">
        <v>211</v>
      </c>
      <c r="B212" s="29" t="s">
        <v>1713</v>
      </c>
      <c r="C212" s="29" t="s">
        <v>1713</v>
      </c>
      <c r="D212" s="30" t="s">
        <v>1978</v>
      </c>
      <c r="E212" s="118" t="s">
        <v>1679</v>
      </c>
      <c r="F212" s="926">
        <v>4</v>
      </c>
      <c r="G212" s="28">
        <v>1.19</v>
      </c>
    </row>
    <row r="213" spans="1:7" ht="49.500000">
      <c r="A213" s="4">
        <v>212</v>
      </c>
      <c r="B213" s="29" t="s">
        <v>1443</v>
      </c>
      <c r="C213" s="29" t="s">
        <v>1443</v>
      </c>
      <c r="D213" s="30" t="s">
        <v>2342</v>
      </c>
      <c r="E213" s="27" t="s">
        <v>1568</v>
      </c>
      <c r="F213" s="926">
        <v>4</v>
      </c>
      <c r="G213" s="28">
        <v>1.19</v>
      </c>
    </row>
    <row r="214" spans="1:7" ht="49.500000">
      <c r="A214" s="4">
        <v>213</v>
      </c>
      <c r="B214" s="935" t="s">
        <v>2152</v>
      </c>
      <c r="C214" s="935" t="s">
        <v>1425</v>
      </c>
      <c r="D214" s="30" t="s">
        <v>4420</v>
      </c>
      <c r="E214" s="111" t="s">
        <v>233</v>
      </c>
      <c r="F214" s="926">
        <v>4</v>
      </c>
      <c r="G214" s="28">
        <v>1.18</v>
      </c>
    </row>
    <row r="215" spans="1:7" ht="66.000000">
      <c r="A215" s="4">
        <v>214</v>
      </c>
      <c r="B215" s="935" t="s">
        <v>2174</v>
      </c>
      <c r="C215" s="935" t="s">
        <v>1750</v>
      </c>
      <c r="D215" s="30" t="s">
        <v>4421</v>
      </c>
      <c r="E215" s="117" t="s">
        <v>2088</v>
      </c>
      <c r="F215" s="926">
        <v>4</v>
      </c>
      <c r="G215" s="28">
        <v>1.01</v>
      </c>
    </row>
    <row r="216" spans="1:7" ht="33.000000">
      <c r="A216" s="4">
        <v>215</v>
      </c>
      <c r="B216" s="29" t="s">
        <v>1635</v>
      </c>
      <c r="C216" s="29" t="s">
        <v>1635</v>
      </c>
      <c r="D216" s="30" t="s">
        <v>1886</v>
      </c>
      <c r="E216" s="117" t="s">
        <v>1671</v>
      </c>
      <c r="F216" s="926">
        <v>4</v>
      </c>
      <c r="G216" s="28">
        <v>0.97</v>
      </c>
    </row>
    <row r="217" spans="1:7" ht="66.000000">
      <c r="A217" s="4">
        <v>216</v>
      </c>
      <c r="B217" s="29" t="s">
        <v>1202</v>
      </c>
      <c r="C217" s="29" t="s">
        <v>1202</v>
      </c>
      <c r="D217" s="30" t="s">
        <v>4422</v>
      </c>
      <c r="E217" s="111" t="s">
        <v>233</v>
      </c>
      <c r="F217" s="926">
        <v>4</v>
      </c>
      <c r="G217" s="28">
        <v>0.95</v>
      </c>
    </row>
    <row r="218" spans="1:7" ht="66.000000">
      <c r="A218" s="4">
        <v>217</v>
      </c>
      <c r="B218" s="935" t="s">
        <v>3074</v>
      </c>
      <c r="C218" s="935" t="s">
        <v>1740</v>
      </c>
      <c r="D218" s="30" t="s">
        <v>4423</v>
      </c>
      <c r="E218" s="117" t="s">
        <v>1964</v>
      </c>
      <c r="F218" s="926">
        <v>4</v>
      </c>
      <c r="G218" s="28">
        <v>0.91</v>
      </c>
    </row>
    <row r="219" spans="1:7" ht="49.500000">
      <c r="A219" s="4">
        <v>218</v>
      </c>
      <c r="B219" s="29" t="s">
        <v>1424</v>
      </c>
      <c r="C219" s="29" t="s">
        <v>1424</v>
      </c>
      <c r="D219" s="30" t="s">
        <v>4424</v>
      </c>
      <c r="E219" s="27" t="s">
        <v>1561</v>
      </c>
      <c r="F219" s="926">
        <v>4</v>
      </c>
      <c r="G219" s="28">
        <v>0.91</v>
      </c>
    </row>
    <row r="220" spans="1:7" ht="17.250000">
      <c r="A220" s="4">
        <v>219</v>
      </c>
      <c r="B220" s="29" t="s">
        <v>1474</v>
      </c>
      <c r="C220" s="29" t="s">
        <v>1474</v>
      </c>
      <c r="D220" s="30" t="s">
        <v>2253</v>
      </c>
      <c r="E220" s="115" t="s">
        <v>1397</v>
      </c>
      <c r="F220" s="926">
        <v>4</v>
      </c>
      <c r="G220" s="28">
        <v>0.89</v>
      </c>
    </row>
    <row r="221" spans="1:7" ht="33.000000">
      <c r="A221" s="4">
        <v>220</v>
      </c>
      <c r="B221" s="29" t="s">
        <v>1231</v>
      </c>
      <c r="C221" s="29" t="s">
        <v>1231</v>
      </c>
      <c r="D221" s="30" t="s">
        <v>1324</v>
      </c>
      <c r="E221" s="113" t="s">
        <v>1323</v>
      </c>
      <c r="F221" s="926">
        <v>4</v>
      </c>
      <c r="G221" s="28">
        <v>0.87</v>
      </c>
    </row>
    <row r="222" spans="1:7" ht="49.500000">
      <c r="A222" s="4">
        <v>221</v>
      </c>
      <c r="B222" s="29" t="s">
        <v>1658</v>
      </c>
      <c r="C222" s="29" t="s">
        <v>1658</v>
      </c>
      <c r="D222" s="30" t="s">
        <v>4425</v>
      </c>
      <c r="E222" s="116" t="s">
        <v>1685</v>
      </c>
      <c r="F222" s="926">
        <v>4</v>
      </c>
      <c r="G222" s="28">
        <v>0.87</v>
      </c>
    </row>
    <row r="223" spans="1:7" ht="33.000000">
      <c r="A223" s="4">
        <v>222</v>
      </c>
      <c r="B223" s="29" t="s">
        <v>1434</v>
      </c>
      <c r="C223" s="29" t="s">
        <v>1434</v>
      </c>
      <c r="D223" s="30" t="s">
        <v>1516</v>
      </c>
      <c r="E223" s="31" t="s">
        <v>1526</v>
      </c>
      <c r="F223" s="926">
        <v>4</v>
      </c>
      <c r="G223" s="28">
        <v>0.87</v>
      </c>
    </row>
    <row r="224" spans="1:7" ht="49.500000">
      <c r="A224" s="4">
        <v>223</v>
      </c>
      <c r="B224" s="935" t="s">
        <v>3490</v>
      </c>
      <c r="C224" s="935" t="s">
        <v>1260</v>
      </c>
      <c r="D224" s="30" t="s">
        <v>1413</v>
      </c>
      <c r="E224" s="31" t="s">
        <v>1197</v>
      </c>
      <c r="F224" s="927">
        <v>5</v>
      </c>
      <c r="G224" s="28">
        <v>0.87</v>
      </c>
    </row>
    <row r="225" spans="1:7" ht="66.000000">
      <c r="A225" s="4">
        <v>224</v>
      </c>
      <c r="B225" s="29" t="s">
        <v>1631</v>
      </c>
      <c r="C225" s="29" t="s">
        <v>1631</v>
      </c>
      <c r="D225" s="30" t="s">
        <v>4426</v>
      </c>
      <c r="E225" s="124" t="s">
        <v>1878</v>
      </c>
      <c r="F225" s="927">
        <v>5</v>
      </c>
      <c r="G225" s="28">
        <v>0.82</v>
      </c>
    </row>
    <row r="226" spans="1:7" ht="33.000000">
      <c r="A226" s="4">
        <v>225</v>
      </c>
      <c r="B226" s="29" t="s">
        <v>1085</v>
      </c>
      <c r="C226" s="29" t="s">
        <v>1085</v>
      </c>
      <c r="D226" s="30" t="s">
        <v>1271</v>
      </c>
      <c r="E226" s="31" t="s">
        <v>1207</v>
      </c>
      <c r="F226" s="927">
        <v>5</v>
      </c>
      <c r="G226" s="28">
        <v>0.8</v>
      </c>
    </row>
    <row r="227" spans="1:7" ht="17.250000">
      <c r="A227" s="4">
        <v>226</v>
      </c>
      <c r="B227" s="935" t="s">
        <v>2619</v>
      </c>
      <c r="C227" s="935" t="s">
        <v>1428</v>
      </c>
      <c r="D227" s="30" t="s">
        <v>1503</v>
      </c>
      <c r="E227" s="31" t="s">
        <v>1199</v>
      </c>
      <c r="F227" s="927">
        <v>5</v>
      </c>
      <c r="G227" s="28">
        <v>0.77</v>
      </c>
    </row>
    <row r="228" spans="1:7" ht="33.000000">
      <c r="A228" s="4">
        <v>227</v>
      </c>
      <c r="B228" s="29" t="s">
        <v>1464</v>
      </c>
      <c r="C228" s="29" t="s">
        <v>1464</v>
      </c>
      <c r="D228" s="30" t="s">
        <v>2380</v>
      </c>
      <c r="E228" s="31" t="s">
        <v>1531</v>
      </c>
      <c r="F228" s="927">
        <v>5</v>
      </c>
      <c r="G228" s="28">
        <v>0.76</v>
      </c>
    </row>
    <row r="229" spans="1:7" ht="49.500000">
      <c r="A229" s="4">
        <v>228</v>
      </c>
      <c r="B229" s="29" t="s">
        <v>1223</v>
      </c>
      <c r="C229" s="29" t="s">
        <v>1223</v>
      </c>
      <c r="D229" s="30" t="s">
        <v>1305</v>
      </c>
      <c r="E229" s="27" t="s">
        <v>1542</v>
      </c>
      <c r="F229" s="927">
        <v>5</v>
      </c>
      <c r="G229" s="28">
        <v>0.76</v>
      </c>
    </row>
    <row r="230" spans="1:7" ht="46.500000" customHeight="1">
      <c r="A230" s="4">
        <v>229</v>
      </c>
      <c r="B230" s="29" t="s">
        <v>1440</v>
      </c>
      <c r="C230" s="29" t="s">
        <v>1440</v>
      </c>
      <c r="D230" s="30" t="s">
        <v>1576</v>
      </c>
      <c r="E230" s="27" t="s">
        <v>1566</v>
      </c>
      <c r="F230" s="927">
        <v>5</v>
      </c>
      <c r="G230" s="28">
        <v>0.73</v>
      </c>
    </row>
    <row r="231" spans="1:7" ht="49.500000">
      <c r="A231" s="4">
        <v>230</v>
      </c>
      <c r="B231" s="29" t="s">
        <v>1744</v>
      </c>
      <c r="C231" s="29" t="s">
        <v>1744</v>
      </c>
      <c r="D231" s="30" t="s">
        <v>4427</v>
      </c>
      <c r="E231" s="117" t="s">
        <v>2085</v>
      </c>
      <c r="F231" s="927">
        <v>5</v>
      </c>
      <c r="G231" s="28">
        <v>0.67</v>
      </c>
    </row>
    <row r="232" spans="1:7" ht="49.500000">
      <c r="A232" s="4">
        <v>231</v>
      </c>
      <c r="B232" s="29" t="s">
        <v>24</v>
      </c>
      <c r="C232" s="29" t="s">
        <v>24</v>
      </c>
      <c r="D232" s="30" t="s">
        <v>4428</v>
      </c>
      <c r="E232" s="31" t="s">
        <v>1250</v>
      </c>
      <c r="F232" s="927">
        <v>5</v>
      </c>
      <c r="G232" s="28">
        <v>0.66</v>
      </c>
    </row>
    <row r="233" spans="1:7" ht="49.500000">
      <c r="A233" s="4">
        <v>232</v>
      </c>
      <c r="B233" s="29" t="s">
        <v>1714</v>
      </c>
      <c r="C233" s="29" t="s">
        <v>1714</v>
      </c>
      <c r="D233" s="30" t="s">
        <v>4429</v>
      </c>
      <c r="E233" s="117" t="s">
        <v>1952</v>
      </c>
      <c r="F233" s="927">
        <v>5</v>
      </c>
      <c r="G233" s="28">
        <v>0.66</v>
      </c>
    </row>
    <row r="234" spans="1:7" ht="49.500000">
      <c r="A234" s="4">
        <v>233</v>
      </c>
      <c r="B234" s="935" t="s">
        <v>2259</v>
      </c>
      <c r="C234" s="935" t="s">
        <v>1726</v>
      </c>
      <c r="D234" s="30" t="s">
        <v>1997</v>
      </c>
      <c r="E234" s="118" t="s">
        <v>1679</v>
      </c>
      <c r="F234" s="927">
        <v>5</v>
      </c>
      <c r="G234" s="28">
        <v>0.63</v>
      </c>
    </row>
    <row r="235" spans="1:7" ht="49.500000">
      <c r="A235" s="4">
        <v>234</v>
      </c>
      <c r="B235" s="978" t="s">
        <v>2129</v>
      </c>
      <c r="C235" s="980" t="s">
        <v>4490</v>
      </c>
      <c r="D235" s="30" t="s">
        <v>4491</v>
      </c>
      <c r="E235" s="116" t="s">
        <v>1680</v>
      </c>
      <c r="F235" s="927">
        <v>5</v>
      </c>
      <c r="G235" s="28">
        <v>0.62</v>
      </c>
    </row>
    <row r="236" spans="1:7" ht="49.500000">
      <c r="A236" s="4">
        <v>235</v>
      </c>
      <c r="B236" s="29" t="s">
        <v>1229</v>
      </c>
      <c r="C236" s="29" t="s">
        <v>1229</v>
      </c>
      <c r="D236" s="30" t="s">
        <v>1320</v>
      </c>
      <c r="E236" s="114" t="s">
        <v>1545</v>
      </c>
      <c r="F236" s="927">
        <v>5</v>
      </c>
      <c r="G236" s="28">
        <v>0.62</v>
      </c>
    </row>
    <row r="237" spans="1:7" ht="66.000000">
      <c r="A237" s="4">
        <v>236</v>
      </c>
      <c r="B237" s="29" t="s">
        <v>1237</v>
      </c>
      <c r="C237" s="29" t="s">
        <v>1237</v>
      </c>
      <c r="D237" s="30" t="s">
        <v>4430</v>
      </c>
      <c r="E237" s="31" t="s">
        <v>1199</v>
      </c>
      <c r="F237" s="927">
        <v>5</v>
      </c>
      <c r="G237" s="28">
        <v>0.6</v>
      </c>
    </row>
    <row r="238" spans="1:7" ht="17.250000">
      <c r="A238" s="4">
        <v>237</v>
      </c>
      <c r="B238" s="29" t="s">
        <v>1210</v>
      </c>
      <c r="C238" s="29" t="s">
        <v>1210</v>
      </c>
      <c r="D238" s="30" t="s">
        <v>1275</v>
      </c>
      <c r="E238" s="31" t="s">
        <v>1211</v>
      </c>
      <c r="F238" s="927">
        <v>5</v>
      </c>
      <c r="G238" s="28">
        <v>0.58</v>
      </c>
    </row>
    <row r="239" spans="1:7" ht="33.000000">
      <c r="A239" s="4">
        <v>238</v>
      </c>
      <c r="B239" s="29" t="s">
        <v>1242</v>
      </c>
      <c r="C239" s="29" t="s">
        <v>1242</v>
      </c>
      <c r="D239" s="30" t="s">
        <v>1360</v>
      </c>
      <c r="E239" s="31" t="s">
        <v>1206</v>
      </c>
      <c r="F239" s="927">
        <v>5</v>
      </c>
      <c r="G239" s="28">
        <v>0.55</v>
      </c>
    </row>
    <row r="240" spans="1:7" ht="49.500000">
      <c r="A240" s="4">
        <v>239</v>
      </c>
      <c r="B240" s="29" t="s">
        <v>1763</v>
      </c>
      <c r="C240" s="29" t="s">
        <v>1763</v>
      </c>
      <c r="D240" s="30" t="s">
        <v>4431</v>
      </c>
      <c r="E240" s="117" t="s">
        <v>2090</v>
      </c>
      <c r="F240" s="927">
        <v>5</v>
      </c>
      <c r="G240" s="28">
        <v>0.51</v>
      </c>
    </row>
    <row r="241" spans="1:7" ht="33.000000">
      <c r="A241" s="4">
        <v>240</v>
      </c>
      <c r="B241" s="29" t="s">
        <v>2130</v>
      </c>
      <c r="C241" s="29" t="s">
        <v>2130</v>
      </c>
      <c r="D241" s="30" t="s">
        <v>2135</v>
      </c>
      <c r="E241" s="117" t="s">
        <v>2137</v>
      </c>
      <c r="F241" s="927">
        <v>5</v>
      </c>
      <c r="G241" s="28">
        <v>0.46</v>
      </c>
    </row>
    <row r="242" spans="1:7" ht="33.000000">
      <c r="A242" s="4">
        <v>241</v>
      </c>
      <c r="B242" s="29" t="s">
        <v>1643</v>
      </c>
      <c r="C242" s="29" t="s">
        <v>1643</v>
      </c>
      <c r="D242" s="30" t="s">
        <v>1903</v>
      </c>
      <c r="E242" s="116" t="s">
        <v>1703</v>
      </c>
      <c r="F242" s="927">
        <v>5</v>
      </c>
      <c r="G242" s="28">
        <v>0.43</v>
      </c>
    </row>
    <row r="243" spans="1:7" ht="49.500000">
      <c r="A243" s="4">
        <v>242</v>
      </c>
      <c r="B243" s="29" t="s">
        <v>2316</v>
      </c>
      <c r="C243" s="29" t="s">
        <v>2316</v>
      </c>
      <c r="D243" s="30" t="s">
        <v>4432</v>
      </c>
      <c r="E243" s="117" t="s">
        <v>2317</v>
      </c>
      <c r="F243" s="927">
        <v>5</v>
      </c>
      <c r="G243" s="28">
        <v>0.43</v>
      </c>
    </row>
    <row r="244" spans="1:7" ht="33.000000">
      <c r="A244" s="4">
        <v>243</v>
      </c>
      <c r="B244" s="29" t="s">
        <v>1442</v>
      </c>
      <c r="C244" s="29" t="s">
        <v>1442</v>
      </c>
      <c r="D244" s="30" t="s">
        <v>1580</v>
      </c>
      <c r="E244" s="27" t="s">
        <v>1567</v>
      </c>
      <c r="F244" s="927">
        <v>5</v>
      </c>
      <c r="G244" s="28">
        <v>0.41</v>
      </c>
    </row>
    <row r="245" spans="1:7" ht="49.500000">
      <c r="A245" s="4">
        <v>244</v>
      </c>
      <c r="B245" s="29" t="s">
        <v>1450</v>
      </c>
      <c r="C245" s="29" t="s">
        <v>1450</v>
      </c>
      <c r="D245" s="30" t="s">
        <v>4433</v>
      </c>
      <c r="E245" s="31" t="s">
        <v>1199</v>
      </c>
      <c r="F245" s="927">
        <v>5</v>
      </c>
      <c r="G245" s="28">
        <v>0.38</v>
      </c>
    </row>
    <row r="246" spans="1:7" ht="33.000000">
      <c r="A246" s="4">
        <v>245</v>
      </c>
      <c r="B246" s="29" t="s">
        <v>1475</v>
      </c>
      <c r="C246" s="29" t="s">
        <v>1475</v>
      </c>
      <c r="D246" s="30" t="s">
        <v>2267</v>
      </c>
      <c r="E246" s="27" t="s">
        <v>1544</v>
      </c>
      <c r="F246" s="927">
        <v>5</v>
      </c>
      <c r="G246" s="28">
        <v>0.33</v>
      </c>
    </row>
    <row r="247" spans="1:7" ht="49.500000">
      <c r="A247" s="4">
        <v>246</v>
      </c>
      <c r="B247" s="29" t="s">
        <v>1742</v>
      </c>
      <c r="C247" s="29" t="s">
        <v>1742</v>
      </c>
      <c r="D247" s="30" t="s">
        <v>4434</v>
      </c>
      <c r="E247" s="117" t="s">
        <v>2083</v>
      </c>
      <c r="F247" s="927">
        <v>5</v>
      </c>
      <c r="G247" s="28">
        <v>0.31</v>
      </c>
    </row>
    <row r="248" spans="1:7" ht="49.500000">
      <c r="A248" s="4">
        <v>247</v>
      </c>
      <c r="B248" s="29" t="s">
        <v>1236</v>
      </c>
      <c r="C248" s="29" t="s">
        <v>1236</v>
      </c>
      <c r="D248" s="30" t="s">
        <v>1339</v>
      </c>
      <c r="E248" s="27" t="s">
        <v>1551</v>
      </c>
      <c r="F248" s="927">
        <v>5</v>
      </c>
      <c r="G248" s="28">
        <v>0.04</v>
      </c>
    </row>
    <row r="249" spans="1:7" ht="33.000000">
      <c r="A249" s="4">
        <v>248</v>
      </c>
      <c r="B249" s="29" t="s">
        <v>1724</v>
      </c>
      <c r="C249" s="29" t="s">
        <v>1724</v>
      </c>
      <c r="D249" s="30" t="s">
        <v>1993</v>
      </c>
      <c r="E249" s="117" t="s">
        <v>1955</v>
      </c>
      <c r="F249" s="142" t="s">
        <v>4197</v>
      </c>
      <c r="G249" s="28"/>
    </row>
    <row r="250" spans="1:7" ht="33.000000">
      <c r="A250" s="4">
        <v>249</v>
      </c>
      <c r="B250" s="92" t="s">
        <v>121</v>
      </c>
      <c r="C250" s="92" t="s">
        <v>121</v>
      </c>
      <c r="D250" s="93" t="s">
        <v>1068</v>
      </c>
      <c r="E250" s="31" t="s">
        <v>1069</v>
      </c>
      <c r="F250" s="142" t="s">
        <v>435</v>
      </c>
      <c r="G250" s="28"/>
    </row>
    <row r="251" spans="1:7" ht="49.500000">
      <c r="A251" s="4">
        <v>250</v>
      </c>
      <c r="B251" s="29" t="s">
        <v>1463</v>
      </c>
      <c r="C251" s="29" t="s">
        <v>1463</v>
      </c>
      <c r="D251" s="30" t="s">
        <v>2378</v>
      </c>
      <c r="E251" s="31" t="s">
        <v>1530</v>
      </c>
      <c r="F251" s="142" t="s">
        <v>4197</v>
      </c>
      <c r="G251" s="28"/>
    </row>
    <row r="252" spans="1:7" ht="66.000000">
      <c r="A252" s="4">
        <v>251</v>
      </c>
      <c r="B252" s="29" t="s">
        <v>1734</v>
      </c>
      <c r="C252" s="29" t="s">
        <v>1734</v>
      </c>
      <c r="D252" s="30" t="s">
        <v>4435</v>
      </c>
      <c r="E252" s="117" t="s">
        <v>1960</v>
      </c>
      <c r="F252" s="142" t="s">
        <v>4197</v>
      </c>
      <c r="G252" s="28"/>
    </row>
    <row r="253" spans="1:7" ht="82.500000">
      <c r="A253" s="4">
        <v>252</v>
      </c>
      <c r="B253" s="29" t="s">
        <v>1743</v>
      </c>
      <c r="C253" s="29" t="s">
        <v>1743</v>
      </c>
      <c r="D253" s="30" t="s">
        <v>4436</v>
      </c>
      <c r="E253" s="117" t="s">
        <v>2084</v>
      </c>
      <c r="F253" s="142" t="s">
        <v>4197</v>
      </c>
      <c r="G253" s="28"/>
    </row>
    <row r="254" spans="1:7" ht="82.500000">
      <c r="A254" s="4">
        <v>253</v>
      </c>
      <c r="B254" s="29" t="s">
        <v>1456</v>
      </c>
      <c r="C254" s="29" t="s">
        <v>1456</v>
      </c>
      <c r="D254" s="30" t="s">
        <v>4437</v>
      </c>
      <c r="E254" s="31" t="s">
        <v>1529</v>
      </c>
      <c r="F254" s="142" t="s">
        <v>4197</v>
      </c>
      <c r="G254" s="28"/>
    </row>
    <row r="255" spans="1:7" ht="49.500000">
      <c r="A255" s="4">
        <v>254</v>
      </c>
      <c r="B255" s="29" t="s">
        <v>1233</v>
      </c>
      <c r="C255" s="29" t="s">
        <v>1233</v>
      </c>
      <c r="D255" s="30" t="s">
        <v>1329</v>
      </c>
      <c r="E255" s="114" t="s">
        <v>1547</v>
      </c>
      <c r="F255" s="142" t="s">
        <v>4197</v>
      </c>
      <c r="G255" s="28"/>
    </row>
    <row r="256" spans="1:7" ht="33.000000">
      <c r="A256" s="4">
        <v>255</v>
      </c>
      <c r="B256" s="29" t="s">
        <v>1462</v>
      </c>
      <c r="C256" s="29" t="s">
        <v>1462</v>
      </c>
      <c r="D256" s="30" t="s">
        <v>2376</v>
      </c>
      <c r="E256" s="31" t="s">
        <v>1072</v>
      </c>
      <c r="F256" s="142" t="s">
        <v>4197</v>
      </c>
      <c r="G256" s="28"/>
    </row>
    <row r="257" spans="1:7" ht="66.000000">
      <c r="A257" s="4">
        <v>256</v>
      </c>
      <c r="B257" s="29" t="s">
        <v>1473</v>
      </c>
      <c r="C257" s="29" t="s">
        <v>1473</v>
      </c>
      <c r="D257" s="30" t="s">
        <v>2411</v>
      </c>
      <c r="E257" s="27" t="s">
        <v>1572</v>
      </c>
      <c r="F257" s="142" t="s">
        <v>4197</v>
      </c>
      <c r="G257" s="28"/>
    </row>
    <row r="258" spans="1:7" ht="66.000000">
      <c r="A258" s="4">
        <v>257</v>
      </c>
      <c r="B258" s="29" t="s">
        <v>1232</v>
      </c>
      <c r="C258" s="29" t="s">
        <v>1232</v>
      </c>
      <c r="D258" s="30" t="s">
        <v>4438</v>
      </c>
      <c r="E258" s="27" t="s">
        <v>1546</v>
      </c>
      <c r="F258" s="142" t="s">
        <v>4197</v>
      </c>
      <c r="G258" s="28"/>
    </row>
    <row r="259" spans="1:7" ht="49.500000">
      <c r="A259" s="4">
        <v>258</v>
      </c>
      <c r="B259" s="29" t="s">
        <v>1439</v>
      </c>
      <c r="C259" s="29" t="s">
        <v>1439</v>
      </c>
      <c r="D259" s="30" t="s">
        <v>4439</v>
      </c>
      <c r="E259" s="31" t="s">
        <v>1216</v>
      </c>
      <c r="F259" s="142" t="s">
        <v>4197</v>
      </c>
      <c r="G259" s="28"/>
    </row>
    <row r="260" spans="1:7" ht="33.000000">
      <c r="A260" s="4">
        <v>259</v>
      </c>
      <c r="B260" s="29" t="s">
        <v>1759</v>
      </c>
      <c r="C260" s="29" t="s">
        <v>1759</v>
      </c>
      <c r="D260" s="30" t="s">
        <v>2063</v>
      </c>
      <c r="E260" s="117" t="s">
        <v>1419</v>
      </c>
      <c r="F260" s="142" t="s">
        <v>4197</v>
      </c>
      <c r="G260" s="28"/>
    </row>
    <row r="261" spans="1:7" ht="33.000000">
      <c r="A261" s="4">
        <v>260</v>
      </c>
      <c r="B261" s="29" t="s">
        <v>1611</v>
      </c>
      <c r="C261" s="29" t="s">
        <v>1611</v>
      </c>
      <c r="D261" s="30" t="s">
        <v>1835</v>
      </c>
      <c r="E261" s="117" t="s">
        <v>1687</v>
      </c>
      <c r="F261" s="142" t="s">
        <v>4197</v>
      </c>
      <c r="G261" s="28"/>
    </row>
    <row r="262" spans="1:7" ht="33.000000">
      <c r="A262" s="4">
        <v>261</v>
      </c>
      <c r="B262" s="29" t="s">
        <v>1452</v>
      </c>
      <c r="C262" s="29" t="s">
        <v>1452</v>
      </c>
      <c r="D262" s="30" t="s">
        <v>2354</v>
      </c>
      <c r="E262" s="31" t="s">
        <v>1199</v>
      </c>
      <c r="F262" s="142" t="s">
        <v>4197</v>
      </c>
      <c r="G262" s="28"/>
    </row>
    <row r="263" spans="1:7" ht="49.500000">
      <c r="A263" s="4">
        <v>262</v>
      </c>
      <c r="B263" s="29" t="s">
        <v>1460</v>
      </c>
      <c r="C263" s="29" t="s">
        <v>1460</v>
      </c>
      <c r="D263" s="30" t="s">
        <v>2370</v>
      </c>
      <c r="E263" s="27" t="s">
        <v>1533</v>
      </c>
      <c r="F263" s="142" t="s">
        <v>4197</v>
      </c>
      <c r="G263" s="28"/>
    </row>
    <row r="264" spans="1:7" ht="49.500000">
      <c r="A264" s="4">
        <v>263</v>
      </c>
      <c r="B264" s="29" t="s">
        <v>1594</v>
      </c>
      <c r="C264" s="29" t="s">
        <v>1594</v>
      </c>
      <c r="D264" s="30" t="s">
        <v>1801</v>
      </c>
      <c r="E264" s="116" t="s">
        <v>1683</v>
      </c>
      <c r="F264" s="142" t="s">
        <v>4197</v>
      </c>
      <c r="G264" s="28"/>
    </row>
    <row r="265" spans="1:7" ht="49.500000">
      <c r="A265" s="4">
        <v>264</v>
      </c>
      <c r="B265" s="29" t="s">
        <v>1217</v>
      </c>
      <c r="C265" s="29" t="s">
        <v>1217</v>
      </c>
      <c r="D265" s="30" t="s">
        <v>1292</v>
      </c>
      <c r="E265" s="27" t="s">
        <v>1538</v>
      </c>
      <c r="F265" s="142" t="s">
        <v>4197</v>
      </c>
      <c r="G265" s="28"/>
    </row>
    <row r="266" spans="1:7" ht="49.500000">
      <c r="A266" s="4">
        <v>265</v>
      </c>
      <c r="B266" s="29" t="s">
        <v>1737</v>
      </c>
      <c r="C266" s="29" t="s">
        <v>1737</v>
      </c>
      <c r="D266" s="30" t="s">
        <v>2021</v>
      </c>
      <c r="E266" s="125" t="s">
        <v>1961</v>
      </c>
      <c r="F266" s="142" t="s">
        <v>4197</v>
      </c>
      <c r="G266" s="28"/>
    </row>
    <row r="267" spans="1:7" ht="33.000000">
      <c r="A267" s="4">
        <v>266</v>
      </c>
      <c r="B267" s="29" t="s">
        <v>1617</v>
      </c>
      <c r="C267" s="29" t="s">
        <v>1617</v>
      </c>
      <c r="D267" s="30" t="s">
        <v>1847</v>
      </c>
      <c r="E267" s="117" t="s">
        <v>1669</v>
      </c>
      <c r="F267" s="142" t="s">
        <v>4197</v>
      </c>
      <c r="G267" s="28"/>
    </row>
    <row r="268" spans="1:7" ht="49.500000">
      <c r="A268" s="4">
        <v>267</v>
      </c>
      <c r="B268" s="29" t="s">
        <v>1600</v>
      </c>
      <c r="C268" s="29" t="s">
        <v>1600</v>
      </c>
      <c r="D268" s="30" t="s">
        <v>1813</v>
      </c>
      <c r="E268" s="117" t="s">
        <v>1684</v>
      </c>
      <c r="F268" s="142" t="s">
        <v>4197</v>
      </c>
      <c r="G268" s="28"/>
    </row>
    <row r="269" spans="1:7" ht="49.500000">
      <c r="A269" s="4">
        <v>268</v>
      </c>
      <c r="B269" s="29" t="s">
        <v>1212</v>
      </c>
      <c r="C269" s="29" t="s">
        <v>1212</v>
      </c>
      <c r="D269" s="30" t="s">
        <v>1281</v>
      </c>
      <c r="E269" s="31" t="s">
        <v>1199</v>
      </c>
      <c r="F269" s="142" t="s">
        <v>4197</v>
      </c>
      <c r="G269" s="28"/>
    </row>
    <row r="270" spans="1:7" ht="49.500000">
      <c r="A270" s="4">
        <v>269</v>
      </c>
      <c r="B270" s="29" t="s">
        <v>1655</v>
      </c>
      <c r="C270" s="29" t="s">
        <v>1655</v>
      </c>
      <c r="D270" s="30" t="s">
        <v>1929</v>
      </c>
      <c r="E270" s="117" t="s">
        <v>1708</v>
      </c>
      <c r="F270" s="142" t="s">
        <v>4197</v>
      </c>
      <c r="G270" s="28"/>
    </row>
    <row r="271" spans="1:7" ht="66.000000">
      <c r="A271" s="4">
        <v>270</v>
      </c>
      <c r="B271" s="29" t="s">
        <v>1246</v>
      </c>
      <c r="C271" s="29" t="s">
        <v>1246</v>
      </c>
      <c r="D271" s="30" t="s">
        <v>4440</v>
      </c>
      <c r="E271" s="31" t="s">
        <v>1247</v>
      </c>
      <c r="F271" s="142" t="s">
        <v>4197</v>
      </c>
      <c r="G271" s="28"/>
    </row>
    <row r="272" spans="1:7" ht="49.500000">
      <c r="A272" s="4">
        <v>271</v>
      </c>
      <c r="B272" s="29" t="s">
        <v>1609</v>
      </c>
      <c r="C272" s="29" t="s">
        <v>1609</v>
      </c>
      <c r="D272" s="30" t="s">
        <v>1831</v>
      </c>
      <c r="E272" s="116" t="s">
        <v>1686</v>
      </c>
      <c r="F272" s="142" t="s">
        <v>4197</v>
      </c>
      <c r="G272" s="28"/>
    </row>
    <row r="273" spans="1:7" ht="66.000000">
      <c r="A273" s="4">
        <v>272</v>
      </c>
      <c r="B273" s="29" t="s">
        <v>1745</v>
      </c>
      <c r="C273" s="29" t="s">
        <v>1745</v>
      </c>
      <c r="D273" s="30" t="s">
        <v>4441</v>
      </c>
      <c r="E273" s="117" t="s">
        <v>2086</v>
      </c>
      <c r="F273" s="142" t="s">
        <v>4197</v>
      </c>
      <c r="G273" s="28"/>
    </row>
    <row r="274" spans="1:7" ht="33.000000">
      <c r="A274" s="4">
        <v>273</v>
      </c>
      <c r="B274" s="29" t="s">
        <v>1446</v>
      </c>
      <c r="C274" s="29" t="s">
        <v>1446</v>
      </c>
      <c r="D274" s="30" t="s">
        <v>2348</v>
      </c>
      <c r="E274" s="27" t="s">
        <v>1569</v>
      </c>
      <c r="F274" s="142" t="s">
        <v>4197</v>
      </c>
      <c r="G274" s="28"/>
    </row>
    <row r="275" spans="1:7" ht="49.500000">
      <c r="A275" s="4">
        <v>274</v>
      </c>
      <c r="B275" s="29" t="s">
        <v>1610</v>
      </c>
      <c r="C275" s="29" t="s">
        <v>1610</v>
      </c>
      <c r="D275" s="30" t="s">
        <v>1833</v>
      </c>
      <c r="E275" s="117" t="s">
        <v>1666</v>
      </c>
      <c r="F275" s="142" t="s">
        <v>4197</v>
      </c>
      <c r="G275" s="28"/>
    </row>
    <row r="276" spans="1:7" ht="33.000000">
      <c r="A276" s="4">
        <v>275</v>
      </c>
      <c r="B276" s="29" t="s">
        <v>1754</v>
      </c>
      <c r="C276" s="29" t="s">
        <v>1754</v>
      </c>
      <c r="D276" s="30" t="s">
        <v>2054</v>
      </c>
      <c r="E276" s="118" t="s">
        <v>1679</v>
      </c>
      <c r="F276" s="142" t="s">
        <v>4197</v>
      </c>
      <c r="G276" s="28"/>
    </row>
    <row r="277" spans="1:7" ht="49.500000">
      <c r="A277" s="4">
        <v>276</v>
      </c>
      <c r="B277" s="29" t="s">
        <v>1471</v>
      </c>
      <c r="C277" s="29" t="s">
        <v>1471</v>
      </c>
      <c r="D277" s="30" t="s">
        <v>2409</v>
      </c>
      <c r="E277" s="31" t="s">
        <v>1197</v>
      </c>
      <c r="F277" s="142" t="s">
        <v>4197</v>
      </c>
      <c r="G277" s="28"/>
    </row>
    <row r="278" spans="1:7" ht="49.500000">
      <c r="A278" s="4">
        <v>277</v>
      </c>
      <c r="B278" s="29" t="s">
        <v>1208</v>
      </c>
      <c r="C278" s="29" t="s">
        <v>1208</v>
      </c>
      <c r="D278" s="30" t="s">
        <v>1272</v>
      </c>
      <c r="E278" s="27" t="s">
        <v>1535</v>
      </c>
      <c r="F278" s="142" t="s">
        <v>4197</v>
      </c>
      <c r="G278" s="28"/>
    </row>
    <row r="279" spans="1:7" ht="49.500000">
      <c r="A279" s="4">
        <v>278</v>
      </c>
      <c r="B279" s="29" t="s">
        <v>1748</v>
      </c>
      <c r="C279" s="29" t="s">
        <v>1748</v>
      </c>
      <c r="D279" s="30" t="s">
        <v>4442</v>
      </c>
      <c r="E279" s="116" t="s">
        <v>1683</v>
      </c>
      <c r="F279" s="142" t="s">
        <v>4197</v>
      </c>
      <c r="G279" s="28"/>
    </row>
    <row r="280" spans="1:7" ht="66.000000">
      <c r="A280" s="4">
        <v>279</v>
      </c>
      <c r="B280" s="29" t="s">
        <v>1752</v>
      </c>
      <c r="C280" s="29" t="s">
        <v>1752</v>
      </c>
      <c r="D280" s="30" t="s">
        <v>2048</v>
      </c>
      <c r="E280" s="117" t="s">
        <v>2089</v>
      </c>
      <c r="F280" s="142" t="s">
        <v>4197</v>
      </c>
      <c r="G280" s="28"/>
    </row>
    <row r="281" spans="1:7" ht="49.500000">
      <c r="A281" s="4">
        <v>280</v>
      </c>
      <c r="B281" s="29" t="s">
        <v>1602</v>
      </c>
      <c r="C281" s="29" t="s">
        <v>1602</v>
      </c>
      <c r="D281" s="30" t="s">
        <v>1817</v>
      </c>
      <c r="E281" s="117" t="s">
        <v>1665</v>
      </c>
      <c r="F281" s="142" t="s">
        <v>4197</v>
      </c>
      <c r="G281" s="28"/>
    </row>
    <row r="282" spans="1:7" ht="49.500000">
      <c r="A282" s="4">
        <v>281</v>
      </c>
      <c r="B282" s="92" t="s">
        <v>500</v>
      </c>
      <c r="C282" s="92" t="s">
        <v>500</v>
      </c>
      <c r="D282" s="93" t="s">
        <v>4443</v>
      </c>
      <c r="E282" s="31" t="s">
        <v>1067</v>
      </c>
      <c r="F282" s="142" t="s">
        <v>435</v>
      </c>
      <c r="G282" s="28"/>
    </row>
    <row r="283" spans="1:7" ht="49.500000">
      <c r="A283" s="4">
        <v>282</v>
      </c>
      <c r="B283" s="29" t="s">
        <v>1644</v>
      </c>
      <c r="C283" s="29" t="s">
        <v>1644</v>
      </c>
      <c r="D283" s="30" t="s">
        <v>1905</v>
      </c>
      <c r="E283" s="116" t="s">
        <v>1704</v>
      </c>
      <c r="F283" s="142" t="s">
        <v>4197</v>
      </c>
      <c r="G283" s="28"/>
    </row>
    <row r="284" spans="1:7" ht="49.500000">
      <c r="A284" s="4">
        <v>283</v>
      </c>
      <c r="B284" s="29" t="s">
        <v>1660</v>
      </c>
      <c r="C284" s="29" t="s">
        <v>1660</v>
      </c>
      <c r="D284" s="30" t="s">
        <v>1939</v>
      </c>
      <c r="E284" s="116" t="s">
        <v>1683</v>
      </c>
      <c r="F284" s="142" t="s">
        <v>4197</v>
      </c>
      <c r="G284" s="28"/>
    </row>
    <row r="285" spans="1:7" ht="49.500000">
      <c r="A285" s="4">
        <v>284</v>
      </c>
      <c r="B285" s="29" t="s">
        <v>1651</v>
      </c>
      <c r="C285" s="29" t="s">
        <v>1651</v>
      </c>
      <c r="D285" s="30" t="s">
        <v>1921</v>
      </c>
      <c r="E285" s="118" t="s">
        <v>1679</v>
      </c>
      <c r="F285" s="142" t="s">
        <v>4197</v>
      </c>
      <c r="G285" s="28"/>
    </row>
    <row r="286" spans="1:7" ht="66.000000">
      <c r="A286" s="4">
        <v>285</v>
      </c>
      <c r="B286" s="29" t="s">
        <v>1601</v>
      </c>
      <c r="C286" s="29" t="s">
        <v>1601</v>
      </c>
      <c r="D286" s="30" t="s">
        <v>1815</v>
      </c>
      <c r="E286" s="117" t="s">
        <v>1664</v>
      </c>
      <c r="F286" s="142" t="s">
        <v>4197</v>
      </c>
      <c r="G286" s="28"/>
    </row>
    <row r="287" spans="1:7" ht="49.500000">
      <c r="A287" s="4">
        <v>286</v>
      </c>
      <c r="B287" s="92" t="s">
        <v>339</v>
      </c>
      <c r="C287" s="92" t="s">
        <v>339</v>
      </c>
      <c r="D287" s="93" t="s">
        <v>4446</v>
      </c>
      <c r="E287" s="31" t="s">
        <v>1065</v>
      </c>
      <c r="F287" s="142" t="s">
        <v>435</v>
      </c>
      <c r="G287" s="28"/>
    </row>
    <row r="288" spans="1:7" ht="49.500000">
      <c r="A288" s="4">
        <v>287</v>
      </c>
      <c r="B288" s="29" t="s">
        <v>1258</v>
      </c>
      <c r="C288" s="29" t="s">
        <v>1258</v>
      </c>
      <c r="D288" s="30" t="s">
        <v>1399</v>
      </c>
      <c r="E288" s="31" t="s">
        <v>1199</v>
      </c>
      <c r="F288" s="142" t="s">
        <v>4197</v>
      </c>
      <c r="G288" s="28"/>
    </row>
    <row r="289" spans="1:7" ht="49.500000">
      <c r="A289" s="4">
        <v>288</v>
      </c>
      <c r="B289" s="88" t="s">
        <v>1234</v>
      </c>
      <c r="C289" s="88" t="s">
        <v>1234</v>
      </c>
      <c r="D289" s="30" t="s">
        <v>1333</v>
      </c>
      <c r="E289" s="113" t="s">
        <v>1548</v>
      </c>
      <c r="F289" s="142" t="s">
        <v>4197</v>
      </c>
      <c r="G289" s="28"/>
    </row>
    <row r="290" spans="1:7" ht="33.000000">
      <c r="A290" s="4">
        <v>289</v>
      </c>
      <c r="B290" s="29" t="s">
        <v>1224</v>
      </c>
      <c r="C290" s="29" t="s">
        <v>1224</v>
      </c>
      <c r="D290" s="30" t="s">
        <v>1307</v>
      </c>
      <c r="E290" s="31" t="s">
        <v>1225</v>
      </c>
      <c r="F290" s="142" t="s">
        <v>4197</v>
      </c>
      <c r="G290" s="28"/>
    </row>
    <row r="291" spans="1:7" ht="66.000000">
      <c r="A291" s="4">
        <v>290</v>
      </c>
      <c r="B291" s="29" t="s">
        <v>1244</v>
      </c>
      <c r="C291" s="29" t="s">
        <v>1244</v>
      </c>
      <c r="D291" s="30" t="s">
        <v>4445</v>
      </c>
      <c r="E291" s="31" t="s">
        <v>1199</v>
      </c>
      <c r="F291" s="142" t="s">
        <v>4197</v>
      </c>
      <c r="G291" s="28"/>
    </row>
    <row r="292" spans="1:7" ht="49.500000">
      <c r="A292" s="4">
        <v>291</v>
      </c>
      <c r="B292" s="29" t="s">
        <v>1728</v>
      </c>
      <c r="C292" s="29" t="s">
        <v>1728</v>
      </c>
      <c r="D292" s="30" t="s">
        <v>2003</v>
      </c>
      <c r="E292" s="125" t="s">
        <v>1957</v>
      </c>
      <c r="F292" s="142" t="s">
        <v>4197</v>
      </c>
      <c r="G292" s="28"/>
    </row>
    <row r="293" spans="1:7" ht="49.500000">
      <c r="A293" s="4">
        <v>292</v>
      </c>
      <c r="B293" s="29" t="s">
        <v>1613</v>
      </c>
      <c r="C293" s="29" t="s">
        <v>1613</v>
      </c>
      <c r="D293" s="30" t="s">
        <v>1839</v>
      </c>
      <c r="E293" s="117" t="s">
        <v>1667</v>
      </c>
      <c r="F293" s="142" t="s">
        <v>4197</v>
      </c>
      <c r="G293" s="28"/>
    </row>
    <row r="294" spans="1:7" ht="33.000000">
      <c r="A294" s="4">
        <v>293</v>
      </c>
      <c r="B294" s="29" t="s">
        <v>1455</v>
      </c>
      <c r="C294" s="29" t="s">
        <v>1455</v>
      </c>
      <c r="D294" s="30" t="s">
        <v>2360</v>
      </c>
      <c r="E294" s="31" t="s">
        <v>1072</v>
      </c>
      <c r="F294" s="142" t="s">
        <v>4197</v>
      </c>
      <c r="G294" s="28"/>
    </row>
    <row r="295" spans="1:7" ht="49.500000">
      <c r="A295" s="4">
        <v>294</v>
      </c>
      <c r="B295" s="29" t="s">
        <v>1449</v>
      </c>
      <c r="C295" s="29" t="s">
        <v>1449</v>
      </c>
      <c r="D295" s="30" t="s">
        <v>1331</v>
      </c>
      <c r="E295" s="31" t="s">
        <v>1199</v>
      </c>
      <c r="F295" s="142" t="s">
        <v>4197</v>
      </c>
      <c r="G295" s="28"/>
    </row>
    <row r="296" spans="1:7" ht="49.500000">
      <c r="A296" s="4">
        <v>295</v>
      </c>
      <c r="B296" s="29" t="s">
        <v>1218</v>
      </c>
      <c r="C296" s="29" t="s">
        <v>1218</v>
      </c>
      <c r="D296" s="30" t="s">
        <v>1295</v>
      </c>
      <c r="E296" s="27" t="s">
        <v>1540</v>
      </c>
      <c r="F296" s="142" t="s">
        <v>4197</v>
      </c>
      <c r="G296" s="28"/>
    </row>
    <row r="297" spans="1:7" ht="49.500000">
      <c r="A297" s="4">
        <v>296</v>
      </c>
      <c r="B297" s="29" t="s">
        <v>1606</v>
      </c>
      <c r="C297" s="29" t="s">
        <v>1606</v>
      </c>
      <c r="D297" s="30" t="s">
        <v>1825</v>
      </c>
      <c r="E297" s="116" t="s">
        <v>1683</v>
      </c>
      <c r="F297" s="142" t="s">
        <v>4197</v>
      </c>
      <c r="G297" s="28"/>
    </row>
    <row r="298" spans="1:7" ht="33.000000">
      <c r="A298" s="4">
        <v>297</v>
      </c>
      <c r="B298" s="29" t="s">
        <v>1457</v>
      </c>
      <c r="C298" s="29" t="s">
        <v>1457</v>
      </c>
      <c r="D298" s="30" t="s">
        <v>2365</v>
      </c>
      <c r="E298" s="31" t="s">
        <v>1528</v>
      </c>
      <c r="F298" s="142" t="s">
        <v>4197</v>
      </c>
      <c r="G298" s="28"/>
    </row>
    <row r="299" spans="1:7" ht="49.500000">
      <c r="A299" s="4">
        <v>298</v>
      </c>
      <c r="B299" s="29" t="s">
        <v>1751</v>
      </c>
      <c r="C299" s="29" t="s">
        <v>1751</v>
      </c>
      <c r="D299" s="30" t="s">
        <v>2046</v>
      </c>
      <c r="E299" s="115" t="s">
        <v>1966</v>
      </c>
      <c r="F299" s="142" t="s">
        <v>4197</v>
      </c>
      <c r="G299" s="28"/>
    </row>
    <row r="300" spans="1:7" ht="49.500000">
      <c r="A300" s="4">
        <v>299</v>
      </c>
      <c r="B300" s="29" t="s">
        <v>1468</v>
      </c>
      <c r="C300" s="29" t="s">
        <v>1468</v>
      </c>
      <c r="D300" s="30" t="s">
        <v>2386</v>
      </c>
      <c r="E300" s="111" t="s">
        <v>233</v>
      </c>
      <c r="F300" s="142" t="s">
        <v>4197</v>
      </c>
      <c r="G300" s="28"/>
    </row>
    <row r="301" spans="1:7" ht="33.000000">
      <c r="A301" s="4">
        <v>300</v>
      </c>
      <c r="B301" s="29" t="s">
        <v>1760</v>
      </c>
      <c r="C301" s="29" t="s">
        <v>1760</v>
      </c>
      <c r="D301" s="30" t="s">
        <v>2065</v>
      </c>
      <c r="E301" s="118" t="s">
        <v>1679</v>
      </c>
      <c r="F301" s="142" t="s">
        <v>4197</v>
      </c>
      <c r="G301" s="28"/>
    </row>
    <row r="302" spans="1:7" ht="49.500000">
      <c r="A302" s="4">
        <v>301</v>
      </c>
      <c r="B302" s="29" t="s">
        <v>1435</v>
      </c>
      <c r="C302" s="29" t="s">
        <v>1435</v>
      </c>
      <c r="D302" s="30" t="s">
        <v>1517</v>
      </c>
      <c r="E302" s="31" t="s">
        <v>1206</v>
      </c>
      <c r="F302" s="142" t="s">
        <v>4197</v>
      </c>
      <c r="G302" s="28"/>
    </row>
    <row r="303" spans="1:7" ht="33.000000">
      <c r="A303" s="4">
        <v>302</v>
      </c>
      <c r="B303" s="29" t="s">
        <v>1209</v>
      </c>
      <c r="C303" s="29" t="s">
        <v>1209</v>
      </c>
      <c r="D303" s="30" t="s">
        <v>1273</v>
      </c>
      <c r="E303" s="111" t="s">
        <v>233</v>
      </c>
      <c r="F303" s="142" t="s">
        <v>4197</v>
      </c>
      <c r="G303" s="28"/>
    </row>
    <row r="304" spans="1:7" ht="66.000000">
      <c r="A304" s="4">
        <v>303</v>
      </c>
      <c r="B304" s="61" t="s">
        <v>1436</v>
      </c>
      <c r="C304" s="61" t="s">
        <v>1436</v>
      </c>
      <c r="D304" s="30" t="s">
        <v>1519</v>
      </c>
      <c r="E304" s="113" t="s">
        <v>1479</v>
      </c>
      <c r="F304" s="142" t="s">
        <v>4197</v>
      </c>
      <c r="G304" s="28"/>
    </row>
    <row r="305" spans="1:7" ht="49.500000">
      <c r="A305" s="4">
        <v>304</v>
      </c>
      <c r="B305" s="29" t="s">
        <v>1221</v>
      </c>
      <c r="C305" s="29" t="s">
        <v>1221</v>
      </c>
      <c r="D305" s="30" t="s">
        <v>1300</v>
      </c>
      <c r="E305" s="31" t="s">
        <v>1222</v>
      </c>
      <c r="F305" s="142" t="s">
        <v>4197</v>
      </c>
      <c r="G305" s="28"/>
    </row>
    <row r="306" spans="1:7" ht="33.000000">
      <c r="A306" s="4">
        <v>305</v>
      </c>
      <c r="B306" s="29" t="s">
        <v>1257</v>
      </c>
      <c r="C306" s="29" t="s">
        <v>1257</v>
      </c>
      <c r="D306" s="30" t="s">
        <v>1396</v>
      </c>
      <c r="E306" s="113" t="s">
        <v>1397</v>
      </c>
      <c r="F306" s="142" t="s">
        <v>4197</v>
      </c>
      <c r="G306" s="28"/>
    </row>
    <row r="307" spans="1:7" ht="66.000000">
      <c r="A307" s="4">
        <v>306</v>
      </c>
      <c r="B307" s="29" t="s">
        <v>1731</v>
      </c>
      <c r="C307" s="29" t="s">
        <v>1731</v>
      </c>
      <c r="D307" s="30" t="s">
        <v>4447</v>
      </c>
      <c r="E307" s="117" t="s">
        <v>1959</v>
      </c>
      <c r="F307" s="142" t="s">
        <v>4197</v>
      </c>
      <c r="G307" s="28"/>
    </row>
    <row r="308" spans="1:7" ht="66.000000">
      <c r="A308" s="4">
        <v>307</v>
      </c>
      <c r="B308" s="29" t="s">
        <v>1445</v>
      </c>
      <c r="C308" s="29" t="s">
        <v>1445</v>
      </c>
      <c r="D308" s="30" t="s">
        <v>2347</v>
      </c>
      <c r="E308" s="27" t="s">
        <v>1564</v>
      </c>
      <c r="F308" s="142" t="s">
        <v>4197</v>
      </c>
      <c r="G308" s="28"/>
    </row>
    <row r="309" spans="1:7" ht="33.000000">
      <c r="A309" s="4">
        <v>308</v>
      </c>
      <c r="B309" s="29" t="s">
        <v>1427</v>
      </c>
      <c r="C309" s="29" t="s">
        <v>1427</v>
      </c>
      <c r="D309" s="30" t="s">
        <v>1501</v>
      </c>
      <c r="E309" s="27" t="s">
        <v>1562</v>
      </c>
      <c r="F309" s="142" t="s">
        <v>4197</v>
      </c>
      <c r="G309" s="28"/>
    </row>
    <row r="310" spans="1:7" ht="46.500000" customHeight="1">
      <c r="A310" s="4">
        <v>309</v>
      </c>
      <c r="B310" s="29" t="s">
        <v>1214</v>
      </c>
      <c r="C310" s="29" t="s">
        <v>1214</v>
      </c>
      <c r="D310" s="30" t="s">
        <v>1286</v>
      </c>
      <c r="E310" s="31" t="s">
        <v>1199</v>
      </c>
      <c r="F310" s="142" t="s">
        <v>4197</v>
      </c>
      <c r="G310" s="28"/>
    </row>
    <row r="311" spans="1:7" ht="33.000000">
      <c r="A311" s="4">
        <v>310</v>
      </c>
      <c r="B311" s="29" t="s">
        <v>1719</v>
      </c>
      <c r="C311" s="29" t="s">
        <v>1719</v>
      </c>
      <c r="D311" s="30" t="s">
        <v>1983</v>
      </c>
      <c r="E311" s="116" t="s">
        <v>1683</v>
      </c>
      <c r="F311" s="142" t="s">
        <v>4197</v>
      </c>
      <c r="G311" s="28"/>
    </row>
    <row r="312" spans="1:7" ht="49.500000">
      <c r="A312" s="4">
        <v>311</v>
      </c>
      <c r="B312" s="29" t="s">
        <v>1729</v>
      </c>
      <c r="C312" s="29" t="s">
        <v>1729</v>
      </c>
      <c r="D312" s="30" t="s">
        <v>2005</v>
      </c>
      <c r="E312" s="116" t="s">
        <v>1947</v>
      </c>
      <c r="F312" s="142" t="s">
        <v>4197</v>
      </c>
      <c r="G312" s="28"/>
    </row>
    <row r="313" spans="1:7" ht="49.500000">
      <c r="A313" s="4">
        <v>312</v>
      </c>
      <c r="B313" s="29" t="s">
        <v>1755</v>
      </c>
      <c r="C313" s="29" t="s">
        <v>1755</v>
      </c>
      <c r="D313" s="30" t="s">
        <v>2056</v>
      </c>
      <c r="E313" s="117" t="s">
        <v>1954</v>
      </c>
      <c r="F313" s="142" t="s">
        <v>4197</v>
      </c>
      <c r="G313" s="28"/>
    </row>
    <row r="314" spans="1:7" ht="49.500000">
      <c r="A314" s="4">
        <v>313</v>
      </c>
      <c r="B314" s="29" t="s">
        <v>1238</v>
      </c>
      <c r="C314" s="29" t="s">
        <v>1238</v>
      </c>
      <c r="D314" s="30" t="s">
        <v>1343</v>
      </c>
      <c r="E314" s="31" t="s">
        <v>1199</v>
      </c>
      <c r="F314" s="142" t="s">
        <v>4197</v>
      </c>
      <c r="G314" s="28"/>
    </row>
    <row r="315" spans="1:7" ht="49.500000">
      <c r="A315" s="4">
        <v>314</v>
      </c>
      <c r="B315" s="29" t="s">
        <v>1762</v>
      </c>
      <c r="C315" s="29" t="s">
        <v>1762</v>
      </c>
      <c r="D315" s="30" t="s">
        <v>2068</v>
      </c>
      <c r="E315" s="116" t="s">
        <v>1686</v>
      </c>
      <c r="F315" s="142" t="s">
        <v>4197</v>
      </c>
      <c r="G315" s="28"/>
    </row>
    <row r="316" spans="1:7" ht="49.500000">
      <c r="A316" s="4">
        <v>315</v>
      </c>
      <c r="B316" s="29" t="s">
        <v>1251</v>
      </c>
      <c r="C316" s="29" t="s">
        <v>1251</v>
      </c>
      <c r="D316" s="30" t="s">
        <v>4448</v>
      </c>
      <c r="E316" s="31" t="s">
        <v>1252</v>
      </c>
      <c r="F316" s="142" t="s">
        <v>4197</v>
      </c>
      <c r="G316" s="28"/>
    </row>
    <row r="317" spans="1:7" ht="66.000000">
      <c r="A317" s="4">
        <v>316</v>
      </c>
      <c r="B317" s="29" t="s">
        <v>1725</v>
      </c>
      <c r="C317" s="29" t="s">
        <v>1725</v>
      </c>
      <c r="D317" s="30" t="s">
        <v>1995</v>
      </c>
      <c r="E317" s="117" t="s">
        <v>1956</v>
      </c>
      <c r="F317" s="142" t="s">
        <v>4197</v>
      </c>
      <c r="G317" s="28"/>
    </row>
    <row r="318" spans="1:7" ht="33.000000">
      <c r="A318" s="4">
        <v>317</v>
      </c>
      <c r="B318" s="29" t="s">
        <v>1730</v>
      </c>
      <c r="C318" s="29" t="s">
        <v>1730</v>
      </c>
      <c r="D318" s="30" t="s">
        <v>2007</v>
      </c>
      <c r="E318" s="117" t="s">
        <v>1958</v>
      </c>
      <c r="F318" s="142" t="s">
        <v>4197</v>
      </c>
      <c r="G318" s="28"/>
    </row>
    <row r="319" spans="1:7" ht="49.500000">
      <c r="A319" s="4">
        <v>318</v>
      </c>
      <c r="B319" s="29" t="s">
        <v>1458</v>
      </c>
      <c r="C319" s="29" t="s">
        <v>1458</v>
      </c>
      <c r="D319" s="30" t="s">
        <v>2367</v>
      </c>
      <c r="E319" s="111" t="s">
        <v>233</v>
      </c>
      <c r="F319" s="142" t="s">
        <v>4197</v>
      </c>
      <c r="G319" s="28"/>
    </row>
    <row r="320" spans="1:7" ht="49.500000">
      <c r="A320" s="4">
        <v>319</v>
      </c>
      <c r="B320" s="29" t="s">
        <v>1198</v>
      </c>
      <c r="C320" s="29" t="s">
        <v>1198</v>
      </c>
      <c r="D320" s="30" t="s">
        <v>1264</v>
      </c>
      <c r="E320" s="31" t="s">
        <v>1199</v>
      </c>
      <c r="F320" s="142" t="s">
        <v>4197</v>
      </c>
      <c r="G320" s="28"/>
    </row>
    <row r="321" spans="1:7" ht="33.000000">
      <c r="A321" s="4">
        <v>320</v>
      </c>
      <c r="B321" s="29" t="s">
        <v>1253</v>
      </c>
      <c r="C321" s="29" t="s">
        <v>1253</v>
      </c>
      <c r="D321" s="30" t="s">
        <v>1377</v>
      </c>
      <c r="E321" s="113" t="s">
        <v>1376</v>
      </c>
      <c r="F321" s="142" t="s">
        <v>4197</v>
      </c>
      <c r="G321" s="28"/>
    </row>
    <row r="322" spans="1:7" ht="49.500000">
      <c r="A322" s="4">
        <v>321</v>
      </c>
      <c r="B322" s="29" t="s">
        <v>1262</v>
      </c>
      <c r="C322" s="29" t="s">
        <v>1262</v>
      </c>
      <c r="D322" s="30" t="s">
        <v>1418</v>
      </c>
      <c r="E322" s="113" t="s">
        <v>1419</v>
      </c>
      <c r="F322" s="142" t="s">
        <v>4197</v>
      </c>
      <c r="G322" s="28"/>
    </row>
    <row r="323" spans="1:7" ht="49.500000">
      <c r="A323" s="4">
        <v>322</v>
      </c>
      <c r="B323" s="29" t="s">
        <v>1219</v>
      </c>
      <c r="C323" s="29" t="s">
        <v>1219</v>
      </c>
      <c r="D323" s="30" t="s">
        <v>1297</v>
      </c>
      <c r="E323" s="31" t="s">
        <v>1220</v>
      </c>
      <c r="F323" s="142" t="s">
        <v>4197</v>
      </c>
      <c r="G323" s="28"/>
    </row>
    <row r="324" spans="1:7" ht="49.500000">
      <c r="A324" s="4">
        <v>323</v>
      </c>
      <c r="B324" s="29" t="s">
        <v>1723</v>
      </c>
      <c r="C324" s="29" t="s">
        <v>1723</v>
      </c>
      <c r="D324" s="30" t="s">
        <v>1991</v>
      </c>
      <c r="E324" s="117" t="s">
        <v>1676</v>
      </c>
      <c r="F324" s="142" t="s">
        <v>4197</v>
      </c>
      <c r="G324" s="28"/>
    </row>
    <row r="325" spans="1:7" ht="33.000000">
      <c r="A325" s="4">
        <v>324</v>
      </c>
      <c r="B325" s="29" t="s">
        <v>1451</v>
      </c>
      <c r="C325" s="29" t="s">
        <v>1451</v>
      </c>
      <c r="D325" s="30" t="s">
        <v>2352</v>
      </c>
      <c r="E325" s="115" t="s">
        <v>1405</v>
      </c>
      <c r="F325" s="142" t="s">
        <v>4197</v>
      </c>
      <c r="G325" s="28"/>
    </row>
    <row r="326" spans="1:7" ht="33.000000">
      <c r="A326" s="4">
        <v>325</v>
      </c>
      <c r="B326" s="29" t="s">
        <v>1608</v>
      </c>
      <c r="C326" s="29" t="s">
        <v>1608</v>
      </c>
      <c r="D326" s="30" t="s">
        <v>1830</v>
      </c>
      <c r="E326" s="116" t="s">
        <v>1678</v>
      </c>
      <c r="F326" s="142" t="s">
        <v>4197</v>
      </c>
      <c r="G326" s="28"/>
    </row>
    <row r="327" spans="1:7" ht="33.000000">
      <c r="A327" s="4">
        <v>326</v>
      </c>
      <c r="B327" s="29" t="s">
        <v>1654</v>
      </c>
      <c r="C327" s="29" t="s">
        <v>1654</v>
      </c>
      <c r="D327" s="30" t="s">
        <v>1927</v>
      </c>
      <c r="E327" s="117" t="s">
        <v>1708</v>
      </c>
      <c r="F327" s="142" t="s">
        <v>4197</v>
      </c>
      <c r="G327" s="28"/>
    </row>
    <row r="328" spans="1:7" ht="66.000000">
      <c r="A328" s="4">
        <v>327</v>
      </c>
      <c r="B328" s="92" t="s">
        <v>1079</v>
      </c>
      <c r="C328" s="92" t="s">
        <v>2271</v>
      </c>
      <c r="D328" s="93" t="s">
        <v>4449</v>
      </c>
      <c r="E328" s="31" t="s">
        <v>1074</v>
      </c>
      <c r="F328" s="142" t="s">
        <v>435</v>
      </c>
      <c r="G328" s="28"/>
    </row>
    <row r="329" spans="1:7" ht="33.000000">
      <c r="A329" s="4">
        <v>328</v>
      </c>
      <c r="B329" s="29" t="s">
        <v>1193</v>
      </c>
      <c r="C329" s="29" t="s">
        <v>1193</v>
      </c>
      <c r="D329" s="30" t="s">
        <v>1973</v>
      </c>
      <c r="E329" s="111" t="s">
        <v>233</v>
      </c>
      <c r="F329" s="142" t="s">
        <v>4197</v>
      </c>
      <c r="G329" s="28"/>
    </row>
    <row r="330" spans="1:7" ht="49.500000">
      <c r="A330" s="4">
        <v>329</v>
      </c>
      <c r="B330" s="92" t="s">
        <v>554</v>
      </c>
      <c r="C330" s="92" t="s">
        <v>554</v>
      </c>
      <c r="D330" s="93" t="s">
        <v>4450</v>
      </c>
      <c r="E330" s="31" t="s">
        <v>1058</v>
      </c>
      <c r="F330" s="142" t="s">
        <v>435</v>
      </c>
      <c r="G330" s="28"/>
    </row>
    <row r="331" spans="1:7" ht="33.000000">
      <c r="A331" s="4">
        <v>330</v>
      </c>
      <c r="B331" s="29" t="s">
        <v>1454</v>
      </c>
      <c r="C331" s="29" t="s">
        <v>1454</v>
      </c>
      <c r="D331" s="30" t="s">
        <v>2407</v>
      </c>
      <c r="E331" s="27" t="s">
        <v>2358</v>
      </c>
      <c r="F331" s="142" t="s">
        <v>4197</v>
      </c>
      <c r="G331" s="28"/>
    </row>
    <row r="332" spans="1:7" ht="66.000000">
      <c r="A332" s="4">
        <v>331</v>
      </c>
      <c r="B332" s="29" t="s">
        <v>1248</v>
      </c>
      <c r="C332" s="29" t="s">
        <v>1248</v>
      </c>
      <c r="D332" s="30" t="s">
        <v>4451</v>
      </c>
      <c r="E332" s="27" t="s">
        <v>1555</v>
      </c>
      <c r="F332" s="142" t="s">
        <v>4197</v>
      </c>
      <c r="G332" s="28"/>
    </row>
    <row r="333" spans="1:7" ht="49.500000">
      <c r="A333" s="4">
        <v>332</v>
      </c>
      <c r="B333" s="29" t="s">
        <v>1711</v>
      </c>
      <c r="C333" s="29" t="s">
        <v>1711</v>
      </c>
      <c r="D333" s="30" t="s">
        <v>1974</v>
      </c>
      <c r="E333" s="117" t="s">
        <v>1951</v>
      </c>
      <c r="F333" s="142" t="s">
        <v>4197</v>
      </c>
      <c r="G333" s="28"/>
    </row>
    <row r="334" spans="1:7" ht="33.000000">
      <c r="A334" s="4">
        <v>333</v>
      </c>
      <c r="B334" s="29" t="s">
        <v>1469</v>
      </c>
      <c r="C334" s="29" t="s">
        <v>1469</v>
      </c>
      <c r="D334" s="30" t="s">
        <v>2389</v>
      </c>
      <c r="E334" s="27" t="s">
        <v>1544</v>
      </c>
      <c r="F334" s="142" t="s">
        <v>4197</v>
      </c>
      <c r="G334" s="28"/>
    </row>
    <row r="335" spans="1:7" ht="33.000000">
      <c r="A335" s="4">
        <v>334</v>
      </c>
      <c r="B335" s="29" t="s">
        <v>1583</v>
      </c>
      <c r="C335" s="29" t="s">
        <v>1583</v>
      </c>
      <c r="D335" s="30" t="s">
        <v>1776</v>
      </c>
      <c r="E335" s="118" t="s">
        <v>1679</v>
      </c>
      <c r="F335" s="142" t="s">
        <v>4197</v>
      </c>
      <c r="G335" s="28"/>
    </row>
    <row r="336" spans="1:7" ht="66.000000">
      <c r="A336" s="4">
        <v>335</v>
      </c>
      <c r="B336" s="92" t="s">
        <v>1080</v>
      </c>
      <c r="C336" s="92" t="s">
        <v>2272</v>
      </c>
      <c r="D336" s="93" t="s">
        <v>4449</v>
      </c>
      <c r="E336" s="31" t="s">
        <v>1075</v>
      </c>
      <c r="F336" s="142" t="s">
        <v>435</v>
      </c>
      <c r="G336" s="28"/>
    </row>
    <row r="337" spans="1:7" ht="66.000000">
      <c r="A337" s="4">
        <v>336</v>
      </c>
      <c r="B337" s="92" t="s">
        <v>1070</v>
      </c>
      <c r="C337" s="92" t="s">
        <v>2269</v>
      </c>
      <c r="D337" s="93" t="s">
        <v>4452</v>
      </c>
      <c r="E337" s="31" t="s">
        <v>1072</v>
      </c>
      <c r="F337" s="142" t="s">
        <v>435</v>
      </c>
      <c r="G337" s="28"/>
    </row>
    <row r="338" spans="1:7" ht="49.500000">
      <c r="A338" s="4">
        <v>337</v>
      </c>
      <c r="B338" s="29" t="s">
        <v>1256</v>
      </c>
      <c r="C338" s="29" t="s">
        <v>1256</v>
      </c>
      <c r="D338" s="30" t="s">
        <v>1389</v>
      </c>
      <c r="E338" s="27" t="s">
        <v>1557</v>
      </c>
      <c r="F338" s="142" t="s">
        <v>4197</v>
      </c>
      <c r="G338" s="28"/>
    </row>
    <row r="339" spans="1:7" ht="33.000000">
      <c r="A339" s="4">
        <v>338</v>
      </c>
      <c r="B339" s="29" t="s">
        <v>1721</v>
      </c>
      <c r="C339" s="29" t="s">
        <v>1721</v>
      </c>
      <c r="D339" s="30" t="s">
        <v>1987</v>
      </c>
      <c r="E339" s="116" t="s">
        <v>1683</v>
      </c>
      <c r="F339" s="142" t="s">
        <v>4197</v>
      </c>
      <c r="G339" s="28"/>
    </row>
    <row r="340" spans="1:7" ht="33.000000">
      <c r="A340" s="4">
        <v>339</v>
      </c>
      <c r="B340" s="29" t="s">
        <v>1227</v>
      </c>
      <c r="C340" s="29" t="s">
        <v>1227</v>
      </c>
      <c r="D340" s="30" t="s">
        <v>1316</v>
      </c>
      <c r="E340" s="27" t="s">
        <v>1539</v>
      </c>
      <c r="F340" s="142" t="s">
        <v>4197</v>
      </c>
      <c r="G340" s="28"/>
    </row>
    <row r="341" spans="1:7" ht="49.500000">
      <c r="A341" s="4">
        <v>340</v>
      </c>
      <c r="B341" s="29" t="s">
        <v>1597</v>
      </c>
      <c r="C341" s="29" t="s">
        <v>1597</v>
      </c>
      <c r="D341" s="30" t="s">
        <v>1807</v>
      </c>
      <c r="E341" s="117" t="s">
        <v>1675</v>
      </c>
      <c r="F341" s="142" t="s">
        <v>4197</v>
      </c>
      <c r="G341" s="28"/>
    </row>
    <row r="342" spans="1:7" ht="49.500000">
      <c r="A342" s="4">
        <v>341</v>
      </c>
      <c r="B342" s="92" t="s">
        <v>266</v>
      </c>
      <c r="C342" s="92" t="s">
        <v>266</v>
      </c>
      <c r="D342" s="93" t="s">
        <v>4453</v>
      </c>
      <c r="E342" s="31" t="s">
        <v>1061</v>
      </c>
      <c r="F342" s="142" t="s">
        <v>435</v>
      </c>
      <c r="G342" s="28"/>
    </row>
    <row r="343" spans="1:7" ht="33.000000">
      <c r="A343" s="4">
        <v>342</v>
      </c>
      <c r="B343" s="29" t="s">
        <v>1761</v>
      </c>
      <c r="C343" s="29" t="s">
        <v>1761</v>
      </c>
      <c r="D343" s="30" t="s">
        <v>2067</v>
      </c>
      <c r="E343" s="117" t="s">
        <v>1967</v>
      </c>
      <c r="F343" s="142" t="s">
        <v>4197</v>
      </c>
      <c r="G343" s="28"/>
    </row>
    <row r="344" spans="1:7" ht="66.000000">
      <c r="A344" s="4">
        <v>343</v>
      </c>
      <c r="B344" s="92" t="s">
        <v>1071</v>
      </c>
      <c r="C344" s="92" t="s">
        <v>2270</v>
      </c>
      <c r="D344" s="93" t="s">
        <v>4452</v>
      </c>
      <c r="E344" s="31" t="s">
        <v>1073</v>
      </c>
      <c r="F344" s="142" t="s">
        <v>435</v>
      </c>
      <c r="G344" s="28"/>
    </row>
    <row r="345" spans="1:7" ht="49.500000">
      <c r="A345" s="4">
        <v>344</v>
      </c>
      <c r="B345" s="92" t="s">
        <v>255</v>
      </c>
      <c r="C345" s="92" t="s">
        <v>255</v>
      </c>
      <c r="D345" s="93" t="s">
        <v>4454</v>
      </c>
      <c r="E345" s="31" t="s">
        <v>1056</v>
      </c>
      <c r="F345" s="142" t="s">
        <v>435</v>
      </c>
      <c r="G345" s="28"/>
    </row>
    <row r="346" spans="1:7" ht="33.000000">
      <c r="A346" s="4">
        <v>345</v>
      </c>
      <c r="B346" s="29" t="s">
        <v>1432</v>
      </c>
      <c r="C346" s="29" t="s">
        <v>1432</v>
      </c>
      <c r="D346" s="30" t="s">
        <v>1512</v>
      </c>
      <c r="E346" s="31" t="s">
        <v>1216</v>
      </c>
      <c r="F346" s="142" t="s">
        <v>4197</v>
      </c>
      <c r="G346" s="28"/>
    </row>
    <row r="347" spans="1:7" ht="33.000000">
      <c r="A347" s="4">
        <v>346</v>
      </c>
      <c r="B347" s="29" t="s">
        <v>1467</v>
      </c>
      <c r="C347" s="29" t="s">
        <v>1467</v>
      </c>
      <c r="D347" s="30" t="s">
        <v>2384</v>
      </c>
      <c r="E347" s="111" t="s">
        <v>233</v>
      </c>
      <c r="F347" s="142" t="s">
        <v>4197</v>
      </c>
      <c r="G347" s="28"/>
    </row>
    <row r="348" spans="1:7" ht="33.000000">
      <c r="A348" s="4">
        <v>347</v>
      </c>
      <c r="B348" s="29" t="s">
        <v>4492</v>
      </c>
      <c r="C348" s="977" t="s">
        <v>4492</v>
      </c>
      <c r="D348" s="30" t="s">
        <v>4495</v>
      </c>
      <c r="E348" s="116" t="s">
        <v>1686</v>
      </c>
      <c r="F348" s="142" t="s">
        <v>4197</v>
      </c>
      <c r="G348" s="28"/>
    </row>
    <row r="349" spans="1:7" ht="17.250000">
      <c r="A349" s="4">
        <v>348</v>
      </c>
      <c r="B349" s="29"/>
      <c r="C349" s="28"/>
      <c r="D349" s="90"/>
      <c r="E349" s="116"/>
      <c r="F349" s="142"/>
      <c r="G349" s="28"/>
    </row>
    <row r="350" spans="1:7" ht="17.250000">
      <c r="A350" s="4">
        <v>349</v>
      </c>
      <c r="B350" s="29"/>
      <c r="C350" s="28"/>
      <c r="D350" s="90"/>
      <c r="E350" s="116"/>
      <c r="F350" s="142"/>
      <c r="G350" s="28"/>
    </row>
    <row r="351" spans="1:7" ht="17.250000">
      <c r="A351" s="4">
        <v>350</v>
      </c>
      <c r="B351" s="29"/>
      <c r="C351" s="28"/>
      <c r="D351" s="90"/>
      <c r="E351" s="116"/>
      <c r="F351" s="142"/>
      <c r="G351" s="28"/>
    </row>
    <row r="352" spans="1:7" ht="17.250000">
      <c r="A352" s="4">
        <v>351</v>
      </c>
      <c r="B352" s="29"/>
      <c r="C352" s="28"/>
      <c r="D352" s="90"/>
      <c r="E352" s="116"/>
      <c r="F352" s="142"/>
      <c r="G352" s="28"/>
    </row>
    <row r="353" spans="1:7" ht="17.250000">
      <c r="A353" s="4">
        <v>352</v>
      </c>
      <c r="B353" s="29"/>
      <c r="C353" s="28"/>
      <c r="D353" s="90"/>
      <c r="E353" s="116"/>
      <c r="F353" s="142"/>
      <c r="G353" s="28"/>
    </row>
    <row r="354" spans="1:7" ht="17.250000">
      <c r="A354" s="4">
        <v>353</v>
      </c>
      <c r="B354" s="29"/>
      <c r="C354" s="28"/>
      <c r="D354" s="90"/>
      <c r="E354" s="116"/>
      <c r="F354" s="142"/>
      <c r="G354" s="28"/>
    </row>
  </sheetData>
  <autoFilter ref="B1:G354">
    <sortState ref="B2:G354">
      <sortCondition descending="1" ref="G2:G354"/>
    </sortState>
  </autoFilter>
  <phoneticPr fontId="1" type="noConversion"/>
  <conditionalFormatting sqref="B1:B1048576">
    <cfRule type="duplicateValues" dxfId="664" priority="1"/>
  </conditionalFormatting>
  <pageMargins left="0.70" right="0.70" top="0.75" bottom="0.75" header="0.30" footer="0.3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3</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허 태웅</dc:creator>
  <cp:lastModifiedBy>허 태웅</cp:lastModifiedBy>
  <cp:version>10.105.280.55985</cp:version>
  <dcterms:modified xsi:type="dcterms:W3CDTF">2022-10-08T15:38:21Z</dcterms:modified>
</cp:coreProperties>
</file>